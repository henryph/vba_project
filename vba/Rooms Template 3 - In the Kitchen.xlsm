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hotel project\April P &amp; L (Rooms &amp; F&amp;B)\"/>
    </mc:Choice>
  </mc:AlternateContent>
  <bookViews>
    <workbookView xWindow="0" yWindow="0" windowWidth="28800" windowHeight="11480"/>
  </bookViews>
  <sheets>
    <sheet name="Rooms Summary - YTD " sheetId="1" r:id="rId1"/>
    <sheet name="Rooms Costs POR - YTD" sheetId="3" r:id="rId2"/>
    <sheet name="hotel_list" sheetId="4" r:id="rId3"/>
  </sheets>
  <functionGroups builtInGroupCount="18"/>
  <definedNames>
    <definedName name="_xlnm.Print_Area" localSheetId="1">'Rooms Costs POR - YTD'!$A$4:$AK$28</definedName>
    <definedName name="_xlnm.Print_Area" localSheetId="0">'Rooms Summary - YTD '!$A$4:$AB$28</definedName>
    <definedName name="_xlnm.Print_Titles" localSheetId="1">'Rooms Costs POR - YTD'!$A:$B,'Rooms Costs POR - YTD'!$5:$6</definedName>
    <definedName name="_xlnm.Print_Titles" localSheetId="0">'Rooms Summary - YTD '!$A:$B,'Rooms Summary - YTD '!$5:$6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8" i="3" l="1"/>
  <c r="AB28" i="3"/>
  <c r="W28" i="3"/>
  <c r="C28" i="3"/>
  <c r="H28" i="3"/>
  <c r="C28" i="1"/>
  <c r="M28" i="1"/>
  <c r="AI28" i="3" l="1"/>
  <c r="AH28" i="3"/>
  <c r="AD28" i="3"/>
  <c r="AC28" i="3"/>
  <c r="Y28" i="3"/>
  <c r="X28" i="3"/>
  <c r="U28" i="3"/>
  <c r="T28" i="3"/>
  <c r="S28" i="3"/>
  <c r="R28" i="3"/>
  <c r="P28" i="3"/>
  <c r="O28" i="3"/>
  <c r="N28" i="3"/>
  <c r="M28" i="3"/>
  <c r="K28" i="3"/>
  <c r="J28" i="3"/>
  <c r="I28" i="3"/>
  <c r="F28" i="3"/>
  <c r="E28" i="3"/>
  <c r="D28" i="3"/>
  <c r="F28" i="1" l="1"/>
  <c r="E28" i="1"/>
  <c r="D28" i="1"/>
  <c r="K28" i="1"/>
  <c r="J28" i="1"/>
  <c r="I28" i="1"/>
  <c r="H28" i="1"/>
  <c r="P28" i="1"/>
  <c r="O28" i="1"/>
  <c r="N28" i="1"/>
  <c r="T28" i="1" l="1"/>
  <c r="S28" i="1"/>
  <c r="Z28" i="1"/>
  <c r="Y28" i="1"/>
  <c r="X28" i="1"/>
  <c r="W28" i="1"/>
</calcChain>
</file>

<file path=xl/sharedStrings.xml><?xml version="1.0" encoding="utf-8"?>
<sst xmlns="http://schemas.openxmlformats.org/spreadsheetml/2006/main" count="213" uniqueCount="64">
  <si>
    <t>ACT</t>
  </si>
  <si>
    <t>BGT</t>
  </si>
  <si>
    <t>LY</t>
  </si>
  <si>
    <t>vs
BGT</t>
  </si>
  <si>
    <t>vs
LY</t>
  </si>
  <si>
    <t>TLHKG</t>
  </si>
  <si>
    <t>CDHKG</t>
  </si>
  <si>
    <t>CHINA</t>
  </si>
  <si>
    <t>TLSHX</t>
  </si>
  <si>
    <t>CDSHH</t>
  </si>
  <si>
    <t>CDBCA</t>
  </si>
  <si>
    <t>TLSZX</t>
  </si>
  <si>
    <t>LPCAN</t>
  </si>
  <si>
    <t>LPNBO</t>
  </si>
  <si>
    <t>LPXIA</t>
  </si>
  <si>
    <t>LPHAN</t>
  </si>
  <si>
    <t>TLHAK</t>
  </si>
  <si>
    <t>SE ASIA</t>
  </si>
  <si>
    <t>CDPKT</t>
  </si>
  <si>
    <t>EUROPE</t>
  </si>
  <si>
    <t>TLLON</t>
  </si>
  <si>
    <t>USA / CANADA</t>
  </si>
  <si>
    <t>TLBOS</t>
  </si>
  <si>
    <t>TLLAX</t>
  </si>
  <si>
    <t>TLCHI</t>
  </si>
  <si>
    <t>TLNYC</t>
  </si>
  <si>
    <t>CSTOR</t>
  </si>
  <si>
    <t>PACIFIC</t>
  </si>
  <si>
    <t>TLSYD</t>
  </si>
  <si>
    <t>TLMEL</t>
  </si>
  <si>
    <t>CDAKL</t>
  </si>
  <si>
    <t>HK</t>
  </si>
  <si>
    <t>LHG ROOMS OPERATIONS</t>
  </si>
  <si>
    <t xml:space="preserve"> Group Average </t>
  </si>
  <si>
    <t>Occupancy (%)</t>
  </si>
  <si>
    <t>YTD - May 2018
USD</t>
  </si>
  <si>
    <t>ADR</t>
  </si>
  <si>
    <t>REVPAR</t>
  </si>
  <si>
    <t>Flow Thru</t>
  </si>
  <si>
    <t>Rooms Costs POR</t>
  </si>
  <si>
    <t>Rooms Profitability (%)</t>
  </si>
  <si>
    <t>Labour CPOR</t>
  </si>
  <si>
    <t>Hospitality CPOR</t>
  </si>
  <si>
    <t>Linen CPOR</t>
  </si>
  <si>
    <t>Guest Supplies CPOR</t>
  </si>
  <si>
    <t>Laundry CPOR</t>
  </si>
  <si>
    <t>Reservations CPOR</t>
  </si>
  <si>
    <t>Commisions CPOR</t>
  </si>
  <si>
    <t>Region</t>
  </si>
  <si>
    <t>Local Currency</t>
  </si>
  <si>
    <t>Filename</t>
  </si>
  <si>
    <t>hotel code</t>
  </si>
  <si>
    <t>HKD</t>
  </si>
  <si>
    <t>CNY</t>
  </si>
  <si>
    <t>GBP</t>
  </si>
  <si>
    <t>USA/CANADA</t>
  </si>
  <si>
    <t>USD</t>
  </si>
  <si>
    <t>AUD</t>
  </si>
  <si>
    <t>NZD</t>
  </si>
  <si>
    <t>Currency</t>
  </si>
  <si>
    <t>Exchange rate</t>
  </si>
  <si>
    <t>THB</t>
  </si>
  <si>
    <t>CAD</t>
  </si>
  <si>
    <t>TLHKG- Rooms and FNB Schedules_2018.04.xlsx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</si>
</sst>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_-;\-* #,##0_-;_-* &quot;-&quot;??_-;_-@_-"/>
    <numFmt numFmtId="165" formatCode="0_ ;[Red]\-0\ 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Border="0" applyAlignment="0"/>
  </cellStyleXfs>
  <cellXfs count="68">
    <xf numFmtId="0" fontId="0" fillId="0" borderId="0" xfId="0"/>
    <xf numFmtId="164" fontId="0" fillId="0" borderId="0" xfId="1" applyNumberFormat="1" applyFont="1"/>
    <xf numFmtId="164" fontId="0" fillId="2" borderId="0" xfId="1" applyNumberFormat="1" applyFont="1" applyFill="1"/>
    <xf numFmtId="164" fontId="0" fillId="3" borderId="0" xfId="1" applyNumberFormat="1" applyFont="1" applyFill="1"/>
    <xf numFmtId="164" fontId="2" fillId="5" borderId="8" xfId="1" applyNumberFormat="1" applyFont="1" applyFill="1" applyBorder="1" applyAlignment="1">
      <alignment horizontal="center" vertical="center" wrapText="1"/>
    </xf>
    <xf numFmtId="1" fontId="3" fillId="0" borderId="1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9" fontId="4" fillId="0" borderId="5" xfId="2" applyFont="1" applyBorder="1" applyAlignment="1">
      <alignment horizontal="center" vertical="center"/>
    </xf>
    <xf numFmtId="164" fontId="5" fillId="0" borderId="0" xfId="1" applyNumberFormat="1" applyFont="1"/>
    <xf numFmtId="1" fontId="3" fillId="0" borderId="11" xfId="2" applyNumberFormat="1" applyFont="1" applyBorder="1" applyAlignment="1">
      <alignment horizontal="center" vertical="center"/>
    </xf>
    <xf numFmtId="9" fontId="4" fillId="0" borderId="10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9" fontId="4" fillId="0" borderId="12" xfId="2" applyFont="1" applyBorder="1" applyAlignment="1">
      <alignment horizontal="center" vertical="center"/>
    </xf>
    <xf numFmtId="1" fontId="3" fillId="0" borderId="13" xfId="2" applyNumberFormat="1" applyFont="1" applyBorder="1" applyAlignment="1">
      <alignment horizontal="center" vertical="center"/>
    </xf>
    <xf numFmtId="165" fontId="4" fillId="0" borderId="7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14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9" fontId="5" fillId="0" borderId="0" xfId="2" applyFont="1"/>
    <xf numFmtId="1" fontId="4" fillId="0" borderId="6" xfId="2" applyNumberFormat="1" applyFont="1" applyBorder="1" applyAlignment="1">
      <alignment horizontal="center" vertical="center"/>
    </xf>
    <xf numFmtId="1" fontId="4" fillId="0" borderId="14" xfId="2" applyNumberFormat="1" applyFont="1" applyBorder="1" applyAlignment="1">
      <alignment horizontal="center" vertical="center"/>
    </xf>
    <xf numFmtId="164" fontId="2" fillId="0" borderId="15" xfId="1" applyNumberFormat="1" applyFont="1" applyBorder="1" applyAlignment="1">
      <alignment vertical="center" wrapText="1"/>
    </xf>
    <xf numFmtId="1" fontId="3" fillId="0" borderId="15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2" xfId="2" applyFont="1" applyBorder="1" applyAlignment="1">
      <alignment horizontal="center" vertical="center"/>
    </xf>
    <xf numFmtId="164" fontId="2" fillId="0" borderId="11" xfId="1" applyNumberFormat="1" applyFont="1" applyBorder="1" applyAlignment="1">
      <alignment vertical="center" wrapText="1"/>
    </xf>
    <xf numFmtId="165" fontId="4" fillId="0" borderId="14" xfId="2" applyNumberFormat="1" applyFont="1" applyBorder="1" applyAlignment="1">
      <alignment horizontal="center" vertical="center"/>
    </xf>
    <xf numFmtId="1" fontId="3" fillId="0" borderId="9" xfId="2" applyNumberFormat="1" applyFont="1" applyBorder="1" applyAlignment="1">
      <alignment horizontal="center" vertical="center"/>
    </xf>
    <xf numFmtId="2" fontId="0" fillId="0" borderId="0" xfId="1" applyNumberFormat="1" applyFont="1"/>
    <xf numFmtId="2" fontId="2" fillId="5" borderId="4" xfId="1" applyNumberFormat="1" applyFont="1" applyFill="1" applyBorder="1" applyAlignment="1">
      <alignment horizontal="center" vertical="center" wrapText="1"/>
    </xf>
    <xf numFmtId="164" fontId="2" fillId="5" borderId="4" xfId="1" applyNumberFormat="1" applyFont="1" applyFill="1" applyBorder="1" applyAlignment="1">
      <alignment horizontal="center" vertical="center" wrapText="1"/>
    </xf>
    <xf numFmtId="164" fontId="2" fillId="5" borderId="5" xfId="1" applyNumberFormat="1" applyFont="1" applyFill="1" applyBorder="1" applyAlignment="1">
      <alignment horizontal="center" vertical="center" wrapText="1"/>
    </xf>
    <xf numFmtId="164" fontId="2" fillId="5" borderId="5" xfId="1" applyNumberFormat="1" applyFont="1" applyFill="1" applyBorder="1" applyAlignment="1">
      <alignment horizontal="center" vertical="center" wrapText="1"/>
    </xf>
    <xf numFmtId="164" fontId="2" fillId="5" borderId="15" xfId="1" applyNumberFormat="1" applyFont="1" applyFill="1" applyBorder="1" applyAlignment="1">
      <alignment horizontal="center" vertical="center" wrapText="1"/>
    </xf>
    <xf numFmtId="164" fontId="2" fillId="5" borderId="9" xfId="1" applyNumberFormat="1" applyFont="1" applyFill="1" applyBorder="1" applyAlignment="1">
      <alignment horizontal="center" vertical="center" wrapText="1"/>
    </xf>
    <xf numFmtId="9" fontId="4" fillId="0" borderId="9" xfId="2" applyFont="1" applyBorder="1" applyAlignment="1">
      <alignment horizontal="center" vertical="center"/>
    </xf>
    <xf numFmtId="9" fontId="4" fillId="0" borderId="11" xfId="2" applyFont="1" applyBorder="1" applyAlignment="1">
      <alignment horizontal="center" vertical="center"/>
    </xf>
    <xf numFmtId="9" fontId="4" fillId="0" borderId="13" xfId="2" applyFont="1" applyBorder="1" applyAlignment="1">
      <alignment horizontal="center" vertical="center"/>
    </xf>
    <xf numFmtId="2" fontId="4" fillId="0" borderId="4" xfId="2" applyNumberFormat="1" applyFont="1" applyBorder="1" applyAlignment="1">
      <alignment horizontal="center" vertical="center"/>
    </xf>
    <xf numFmtId="2" fontId="4" fillId="0" borderId="10" xfId="2" applyNumberFormat="1" applyFont="1" applyBorder="1" applyAlignment="1">
      <alignment horizontal="center" vertical="center"/>
    </xf>
    <xf numFmtId="2" fontId="4" fillId="0" borderId="6" xfId="2" applyNumberFormat="1" applyFont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166" fontId="4" fillId="0" borderId="4" xfId="2" applyNumberFormat="1" applyFont="1" applyBorder="1" applyAlignment="1">
      <alignment horizontal="center" vertical="center"/>
    </xf>
    <xf numFmtId="166" fontId="4" fillId="0" borderId="10" xfId="2" applyNumberFormat="1" applyFont="1" applyBorder="1" applyAlignment="1">
      <alignment horizontal="center" vertical="center"/>
    </xf>
    <xf numFmtId="166" fontId="4" fillId="0" borderId="6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1" fontId="4" fillId="0" borderId="10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66" fontId="4" fillId="0" borderId="8" xfId="2" applyNumberFormat="1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166" fontId="4" fillId="0" borderId="14" xfId="2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164" fontId="2" fillId="0" borderId="9" xfId="1" applyNumberFormat="1" applyFont="1" applyBorder="1" applyAlignment="1">
      <alignment horizontal="center" vertical="center" wrapText="1"/>
    </xf>
    <xf numFmtId="164" fontId="2" fillId="0" borderId="11" xfId="1" applyNumberFormat="1" applyFont="1" applyBorder="1" applyAlignment="1">
      <alignment horizontal="center" vertical="center" wrapText="1"/>
    </xf>
    <xf numFmtId="164" fontId="2" fillId="0" borderId="13" xfId="1" applyNumberFormat="1" applyFont="1" applyBorder="1" applyAlignment="1">
      <alignment horizontal="center" vertical="center" wrapText="1"/>
    </xf>
    <xf numFmtId="164" fontId="6" fillId="4" borderId="1" xfId="1" applyNumberFormat="1" applyFont="1" applyFill="1" applyBorder="1" applyAlignment="1">
      <alignment horizontal="center" vertical="center"/>
    </xf>
    <xf numFmtId="164" fontId="6" fillId="4" borderId="2" xfId="1" applyNumberFormat="1" applyFont="1" applyFill="1" applyBorder="1" applyAlignment="1">
      <alignment horizontal="center" vertical="center"/>
    </xf>
    <xf numFmtId="164" fontId="6" fillId="4" borderId="3" xfId="1" applyNumberFormat="1" applyFont="1" applyFill="1" applyBorder="1" applyAlignment="1">
      <alignment horizontal="center" vertical="center"/>
    </xf>
    <xf numFmtId="164" fontId="2" fillId="5" borderId="4" xfId="1" applyNumberFormat="1" applyFont="1" applyFill="1" applyBorder="1" applyAlignment="1">
      <alignment horizontal="center" vertical="center" wrapText="1"/>
    </xf>
    <xf numFmtId="164" fontId="2" fillId="5" borderId="5" xfId="1" applyNumberFormat="1" applyFont="1" applyFill="1" applyBorder="1" applyAlignment="1">
      <alignment horizontal="center" vertical="center" wrapText="1"/>
    </xf>
    <xf numFmtId="164" fontId="2" fillId="5" borderId="6" xfId="1" applyNumberFormat="1" applyFont="1" applyFill="1" applyBorder="1" applyAlignment="1">
      <alignment horizontal="center" vertical="center" wrapText="1"/>
    </xf>
    <xf numFmtId="164" fontId="2" fillId="5" borderId="7" xfId="1" applyNumberFormat="1" applyFont="1" applyFill="1" applyBorder="1" applyAlignment="1">
      <alignment horizontal="center" vertical="center" wrapText="1"/>
    </xf>
    <xf numFmtId="164" fontId="2" fillId="5" borderId="2" xfId="1" applyNumberFormat="1" applyFont="1" applyFill="1" applyBorder="1" applyAlignment="1">
      <alignment horizontal="center" vertical="center" wrapText="1"/>
    </xf>
    <xf numFmtId="164" fontId="2" fillId="5" borderId="3" xfId="1" applyNumberFormat="1" applyFont="1" applyFill="1" applyBorder="1" applyAlignment="1">
      <alignment horizontal="center" vertical="center" wrapText="1"/>
    </xf>
    <xf numFmtId="164" fontId="2" fillId="5" borderId="1" xfId="1" applyNumberFormat="1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Percent" xfId="2" builtinId="5"/>
    <cellStyle name="STYLE2" xfId="3"/>
  </cellStyles>
  <dxfs count="3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12</xdr:row>
          <xdr:rowOff>101600</xdr:rowOff>
        </xdr:from>
        <xdr:to>
          <xdr:col>8</xdr:col>
          <xdr:colOff>234950</xdr:colOff>
          <xdr:row>14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  <pageSetUpPr fitToPage="1"/>
  </sheetPr>
  <dimension ref="A1:AC28"/>
  <sheetViews>
    <sheetView showGridLines="0" tabSelected="1" topLeftCell="A8" zoomScale="60" zoomScaleNormal="60" workbookViewId="0">
      <selection activeCell="B8" sqref="A4:AC28"/>
    </sheetView>
  </sheetViews>
  <sheetFormatPr defaultColWidth="8.81640625" defaultRowHeight="16.5" customHeight="1" x14ac:dyDescent="0.35"/>
  <cols>
    <col min="1" max="1" width="14" style="1" customWidth="1"/>
    <col min="2" max="2" width="10.453125" style="1" customWidth="1"/>
    <col min="3" max="3" width="11.1796875" style="1" customWidth="1"/>
    <col min="4" max="5" width="11.1796875" style="1" hidden="1" customWidth="1"/>
    <col min="6" max="8" width="11.1796875" style="1" customWidth="1"/>
    <col min="9" max="10" width="11.1796875" style="1" hidden="1" customWidth="1"/>
    <col min="11" max="12" width="11.1796875" style="1" customWidth="1"/>
    <col min="13" max="13" width="11.7265625" style="1" customWidth="1"/>
    <col min="14" max="15" width="11.7265625" style="1" hidden="1" customWidth="1"/>
    <col min="16" max="17" width="11.7265625" style="1" customWidth="1"/>
    <col min="18" max="18" width="12.26953125" style="1" customWidth="1"/>
    <col min="19" max="20" width="11.26953125" style="1" hidden="1" customWidth="1"/>
    <col min="21" max="22" width="12.26953125" style="1" customWidth="1"/>
    <col min="23" max="23" width="12.1796875" style="1" customWidth="1"/>
    <col min="24" max="25" width="12.1796875" style="1" hidden="1" customWidth="1"/>
    <col min="26" max="27" width="12.1796875" style="1" customWidth="1"/>
    <col min="28" max="28" width="16" style="1" customWidth="1"/>
    <col min="29" max="29" width="11.453125" style="1" bestFit="1" customWidth="1"/>
    <col min="30" max="16384" width="8.81640625" style="1"/>
  </cols>
  <sheetData>
    <row r="1" spans="1:29" ht="8.25" customHeight="1" x14ac:dyDescent="0.35"/>
    <row r="2" spans="1:29" ht="16.5" customHeight="1" x14ac:dyDescent="0.35">
      <c r="A2" s="2">
        <v>5</v>
      </c>
    </row>
    <row r="3" spans="1:29" ht="16.5" customHeight="1" thickBot="1" x14ac:dyDescent="0.4">
      <c r="A3" s="3"/>
      <c r="B3" s="3"/>
    </row>
    <row r="4" spans="1:29" ht="28.5" customHeight="1" thickBot="1" x14ac:dyDescent="0.4">
      <c r="A4" s="58" t="s">
        <v>32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60"/>
    </row>
    <row r="5" spans="1:29" ht="45" customHeight="1" thickBot="1" x14ac:dyDescent="0.4">
      <c r="A5" s="61" t="s">
        <v>35</v>
      </c>
      <c r="B5" s="62"/>
      <c r="C5" s="65" t="s">
        <v>34</v>
      </c>
      <c r="D5" s="65"/>
      <c r="E5" s="65"/>
      <c r="F5" s="65"/>
      <c r="G5" s="66"/>
      <c r="H5" s="65" t="s">
        <v>36</v>
      </c>
      <c r="I5" s="65"/>
      <c r="J5" s="65"/>
      <c r="K5" s="65"/>
      <c r="L5" s="66"/>
      <c r="M5" s="65" t="s">
        <v>37</v>
      </c>
      <c r="N5" s="65"/>
      <c r="O5" s="65"/>
      <c r="P5" s="65"/>
      <c r="Q5" s="66"/>
      <c r="R5" s="67" t="s">
        <v>39</v>
      </c>
      <c r="S5" s="65"/>
      <c r="T5" s="65"/>
      <c r="U5" s="65"/>
      <c r="V5" s="66"/>
      <c r="W5" s="65" t="s">
        <v>40</v>
      </c>
      <c r="X5" s="65"/>
      <c r="Y5" s="65"/>
      <c r="Z5" s="65"/>
      <c r="AA5" s="66"/>
      <c r="AB5" s="34" t="s">
        <v>38</v>
      </c>
    </row>
    <row r="6" spans="1:29" ht="45.75" customHeight="1" thickBot="1" x14ac:dyDescent="0.4">
      <c r="A6" s="63"/>
      <c r="B6" s="64"/>
      <c r="C6" s="31" t="s">
        <v>0</v>
      </c>
      <c r="D6" s="4" t="s">
        <v>1</v>
      </c>
      <c r="E6" s="4" t="s">
        <v>2</v>
      </c>
      <c r="F6" s="4" t="s">
        <v>3</v>
      </c>
      <c r="G6" s="32" t="s">
        <v>4</v>
      </c>
      <c r="H6" s="31" t="s">
        <v>0</v>
      </c>
      <c r="I6" s="4" t="s">
        <v>1</v>
      </c>
      <c r="J6" s="4" t="s">
        <v>2</v>
      </c>
      <c r="K6" s="4" t="s">
        <v>3</v>
      </c>
      <c r="L6" s="32" t="s">
        <v>4</v>
      </c>
      <c r="M6" s="31" t="s">
        <v>0</v>
      </c>
      <c r="N6" s="4" t="s">
        <v>1</v>
      </c>
      <c r="O6" s="4" t="s">
        <v>2</v>
      </c>
      <c r="P6" s="4" t="s">
        <v>3</v>
      </c>
      <c r="Q6" s="32" t="s">
        <v>4</v>
      </c>
      <c r="R6" s="30" t="s">
        <v>0</v>
      </c>
      <c r="S6" s="4" t="s">
        <v>1</v>
      </c>
      <c r="T6" s="4" t="s">
        <v>2</v>
      </c>
      <c r="U6" s="4" t="s">
        <v>3</v>
      </c>
      <c r="V6" s="33" t="s">
        <v>4</v>
      </c>
      <c r="W6" s="4" t="s">
        <v>0</v>
      </c>
      <c r="X6" s="4" t="s">
        <v>1</v>
      </c>
      <c r="Y6" s="4" t="s">
        <v>2</v>
      </c>
      <c r="Z6" s="4" t="s">
        <v>3</v>
      </c>
      <c r="AA6" s="32" t="s">
        <v>4</v>
      </c>
      <c r="AB6" s="35" t="s">
        <v>0</v>
      </c>
    </row>
    <row r="7" spans="1:29" s="9" customFormat="1" ht="35.25" customHeight="1" x14ac:dyDescent="0.35">
      <c r="A7" s="55" t="s">
        <v>31</v>
      </c>
      <c r="B7" s="5" t="s">
        <v>5</v>
      </c>
      <c r="C7" s="6">
        <v>0.8</v>
      </c>
      <c r="D7" s="7">
        <v>1.6846094279359867</v>
      </c>
      <c r="E7" s="7">
        <v>1.6846094279359867</v>
      </c>
      <c r="F7" s="7">
        <v>-0.03</v>
      </c>
      <c r="G7" s="8">
        <v>1.6846094279359867</v>
      </c>
      <c r="H7" s="47">
        <v>100</v>
      </c>
      <c r="I7" s="7">
        <v>1.6846094279359867</v>
      </c>
      <c r="J7" s="7">
        <v>1.6846094279359867</v>
      </c>
      <c r="K7" s="7">
        <v>-0.03</v>
      </c>
      <c r="L7" s="8">
        <v>1.6846094279359867</v>
      </c>
      <c r="M7" s="47">
        <v>100</v>
      </c>
      <c r="N7" s="7">
        <v>1.6846094279359867</v>
      </c>
      <c r="O7" s="7">
        <v>1.6846094279359867</v>
      </c>
      <c r="P7" s="7">
        <v>-0.03</v>
      </c>
      <c r="Q7" s="8">
        <v>1.6846094279359867</v>
      </c>
      <c r="R7" s="39">
        <v>1.6846094279359867</v>
      </c>
      <c r="S7" s="7">
        <v>1.6846094279359867</v>
      </c>
      <c r="T7" s="7">
        <v>1.6846094279359867</v>
      </c>
      <c r="U7" s="7">
        <v>-0.03</v>
      </c>
      <c r="V7" s="8">
        <v>1.6846094279359867</v>
      </c>
      <c r="W7" s="7">
        <v>-0.03</v>
      </c>
      <c r="X7" s="7">
        <v>1.6846094279359867</v>
      </c>
      <c r="Y7" s="7">
        <v>1.6846094279359867</v>
      </c>
      <c r="Z7" s="7">
        <v>-0.03</v>
      </c>
      <c r="AA7" s="8">
        <v>1.6846094279359867</v>
      </c>
      <c r="AB7" s="36">
        <v>-0.6</v>
      </c>
      <c r="AC7" s="9">
        <v>0</v>
      </c>
    </row>
    <row r="8" spans="1:29" s="9" customFormat="1" ht="35.25" customHeight="1" thickBot="1" x14ac:dyDescent="0.4">
      <c r="A8" s="56"/>
      <c r="B8" s="14" t="s">
        <v>6</v>
      </c>
      <c r="C8" s="11">
        <v>0.8</v>
      </c>
      <c r="D8" s="12">
        <v>1.6846094279359867</v>
      </c>
      <c r="E8" s="12">
        <v>1.6846094279359867</v>
      </c>
      <c r="F8" s="12">
        <v>0.1</v>
      </c>
      <c r="G8" s="13">
        <v>-0.03</v>
      </c>
      <c r="H8" s="48">
        <v>100</v>
      </c>
      <c r="I8" s="12">
        <v>1.6846094279359867</v>
      </c>
      <c r="J8" s="12">
        <v>1.6846094279359867</v>
      </c>
      <c r="K8" s="12">
        <v>0.1</v>
      </c>
      <c r="L8" s="13">
        <v>-0.03</v>
      </c>
      <c r="M8" s="48">
        <v>100</v>
      </c>
      <c r="N8" s="12">
        <v>1.6846094279359867</v>
      </c>
      <c r="O8" s="12">
        <v>1.6846094279359867</v>
      </c>
      <c r="P8" s="12">
        <v>0.1</v>
      </c>
      <c r="Q8" s="13">
        <v>-0.03</v>
      </c>
      <c r="R8" s="40">
        <v>1.6846094279359867</v>
      </c>
      <c r="S8" s="12">
        <v>1.68460942793599</v>
      </c>
      <c r="T8" s="12">
        <v>1.6846094279359867</v>
      </c>
      <c r="U8" s="12">
        <v>0.1</v>
      </c>
      <c r="V8" s="13">
        <v>-0.03</v>
      </c>
      <c r="W8" s="12">
        <v>0.1</v>
      </c>
      <c r="X8" s="12">
        <v>1.6846094279359867</v>
      </c>
      <c r="Y8" s="12">
        <v>1.6846094279359867</v>
      </c>
      <c r="Z8" s="12">
        <v>0.1</v>
      </c>
      <c r="AA8" s="13">
        <v>-0.03</v>
      </c>
      <c r="AB8" s="37">
        <v>-0.8</v>
      </c>
    </row>
    <row r="9" spans="1:29" s="9" customFormat="1" ht="35.25" customHeight="1" x14ac:dyDescent="0.35">
      <c r="A9" s="55" t="s">
        <v>7</v>
      </c>
      <c r="B9" s="5" t="s">
        <v>8</v>
      </c>
      <c r="C9" s="6">
        <v>0.8</v>
      </c>
      <c r="D9" s="7">
        <v>1.6846094279359867</v>
      </c>
      <c r="E9" s="7">
        <v>1.6846094279359867</v>
      </c>
      <c r="F9" s="7">
        <v>-0.03</v>
      </c>
      <c r="G9" s="8">
        <v>0.6</v>
      </c>
      <c r="H9" s="47">
        <v>100</v>
      </c>
      <c r="I9" s="7">
        <v>1.68460942793599</v>
      </c>
      <c r="J9" s="7">
        <v>1.6846094279359867</v>
      </c>
      <c r="K9" s="7">
        <v>-0.03</v>
      </c>
      <c r="L9" s="8">
        <v>0.6</v>
      </c>
      <c r="M9" s="47">
        <v>100</v>
      </c>
      <c r="N9" s="7">
        <v>1.6846094279359867</v>
      </c>
      <c r="O9" s="7">
        <v>1.6846094279359867</v>
      </c>
      <c r="P9" s="7">
        <v>-0.03</v>
      </c>
      <c r="Q9" s="8">
        <v>0.6</v>
      </c>
      <c r="R9" s="39">
        <v>1.6846094279359867</v>
      </c>
      <c r="S9" s="7">
        <v>1.6846094279359867</v>
      </c>
      <c r="T9" s="7">
        <v>1.6846094279359867</v>
      </c>
      <c r="U9" s="7">
        <v>-0.03</v>
      </c>
      <c r="V9" s="8">
        <v>0.6</v>
      </c>
      <c r="W9" s="7">
        <v>-0.03</v>
      </c>
      <c r="X9" s="7">
        <v>1.6846094279359867</v>
      </c>
      <c r="Y9" s="7">
        <v>1.6846094279359867</v>
      </c>
      <c r="Z9" s="7">
        <v>-0.03</v>
      </c>
      <c r="AA9" s="7">
        <v>0.6</v>
      </c>
      <c r="AB9" s="36">
        <v>0.5</v>
      </c>
    </row>
    <row r="10" spans="1:29" s="19" customFormat="1" ht="35.25" customHeight="1" x14ac:dyDescent="0.35">
      <c r="A10" s="56"/>
      <c r="B10" s="10" t="s">
        <v>9</v>
      </c>
      <c r="C10" s="11">
        <v>0.8</v>
      </c>
      <c r="D10" s="12">
        <v>1.6846094279359867</v>
      </c>
      <c r="E10" s="12">
        <v>1.6846094279359867</v>
      </c>
      <c r="F10" s="12">
        <v>-0.03</v>
      </c>
      <c r="G10" s="13">
        <v>0.8</v>
      </c>
      <c r="H10" s="48">
        <v>100</v>
      </c>
      <c r="I10" s="12">
        <v>1.6846094279359867</v>
      </c>
      <c r="J10" s="12">
        <v>1.6846094279359867</v>
      </c>
      <c r="K10" s="12">
        <v>-0.03</v>
      </c>
      <c r="L10" s="13">
        <v>0.8</v>
      </c>
      <c r="M10" s="48">
        <v>100</v>
      </c>
      <c r="N10" s="12">
        <v>1.6846094279359867</v>
      </c>
      <c r="O10" s="12">
        <v>1.6846094279359867</v>
      </c>
      <c r="P10" s="12">
        <v>-0.03</v>
      </c>
      <c r="Q10" s="13">
        <v>0.8</v>
      </c>
      <c r="R10" s="40">
        <v>1.6846094279359867</v>
      </c>
      <c r="S10" s="12">
        <v>1.6846094279359867</v>
      </c>
      <c r="T10" s="12">
        <v>1.6846094279359867</v>
      </c>
      <c r="U10" s="12">
        <v>-0.03</v>
      </c>
      <c r="V10" s="13">
        <v>0.8</v>
      </c>
      <c r="W10" s="12">
        <v>-0.03</v>
      </c>
      <c r="X10" s="12">
        <v>1.6846094279359867</v>
      </c>
      <c r="Y10" s="12">
        <v>1.6846094279359867</v>
      </c>
      <c r="Z10" s="12">
        <v>-0.03</v>
      </c>
      <c r="AA10" s="13">
        <v>0.8</v>
      </c>
      <c r="AB10" s="37">
        <v>0.5</v>
      </c>
    </row>
    <row r="11" spans="1:29" s="9" customFormat="1" ht="35.25" customHeight="1" x14ac:dyDescent="0.35">
      <c r="A11" s="56"/>
      <c r="B11" s="10" t="s">
        <v>10</v>
      </c>
      <c r="C11" s="11">
        <v>0.8</v>
      </c>
      <c r="D11" s="12">
        <v>1.6846094279359867</v>
      </c>
      <c r="E11" s="12">
        <v>1.6846094279359867</v>
      </c>
      <c r="F11" s="12">
        <v>0.2</v>
      </c>
      <c r="G11" s="13">
        <v>-0.03</v>
      </c>
      <c r="H11" s="48">
        <v>100</v>
      </c>
      <c r="I11" s="12">
        <v>1.6846094279359867</v>
      </c>
      <c r="J11" s="12">
        <v>1.6846094279359867</v>
      </c>
      <c r="K11" s="12">
        <v>0.2</v>
      </c>
      <c r="L11" s="13">
        <v>-0.03</v>
      </c>
      <c r="M11" s="48">
        <v>100</v>
      </c>
      <c r="N11" s="12">
        <v>1.6846094279359867</v>
      </c>
      <c r="O11" s="12">
        <v>1.6846094279359867</v>
      </c>
      <c r="P11" s="12">
        <v>0.2</v>
      </c>
      <c r="Q11" s="13">
        <v>-0.03</v>
      </c>
      <c r="R11" s="40">
        <v>1.6846094279359867</v>
      </c>
      <c r="S11" s="12">
        <v>1.6846094279359867</v>
      </c>
      <c r="T11" s="12">
        <v>1.6846094279359867</v>
      </c>
      <c r="U11" s="12">
        <v>0.2</v>
      </c>
      <c r="V11" s="13">
        <v>-0.03</v>
      </c>
      <c r="W11" s="12">
        <v>0.2</v>
      </c>
      <c r="X11" s="12">
        <v>1.6846094279359867</v>
      </c>
      <c r="Y11" s="12">
        <v>1.6846094279359867</v>
      </c>
      <c r="Z11" s="12">
        <v>0.2</v>
      </c>
      <c r="AA11" s="12">
        <v>-0.03</v>
      </c>
      <c r="AB11" s="37">
        <v>0.5</v>
      </c>
    </row>
    <row r="12" spans="1:29" s="9" customFormat="1" ht="35.25" customHeight="1" x14ac:dyDescent="0.35">
      <c r="A12" s="56"/>
      <c r="B12" s="5" t="s">
        <v>11</v>
      </c>
      <c r="C12" s="11">
        <v>0.8</v>
      </c>
      <c r="D12" s="12">
        <v>1.6846094279359867</v>
      </c>
      <c r="E12" s="12">
        <v>1.6846094279359867</v>
      </c>
      <c r="F12" s="12">
        <v>-0.03</v>
      </c>
      <c r="G12" s="13">
        <v>-0.03</v>
      </c>
      <c r="H12" s="48">
        <v>100</v>
      </c>
      <c r="I12" s="12">
        <v>1.6846094279359867</v>
      </c>
      <c r="J12" s="12">
        <v>1.6846094279359867</v>
      </c>
      <c r="K12" s="12">
        <v>-0.03</v>
      </c>
      <c r="L12" s="13">
        <v>-0.03</v>
      </c>
      <c r="M12" s="48">
        <v>100</v>
      </c>
      <c r="N12" s="12">
        <v>1.6846094279359867</v>
      </c>
      <c r="O12" s="12">
        <v>1.6846094279359867</v>
      </c>
      <c r="P12" s="12">
        <v>-0.03</v>
      </c>
      <c r="Q12" s="13">
        <v>-0.03</v>
      </c>
      <c r="R12" s="40">
        <v>1.6846094279359867</v>
      </c>
      <c r="S12" s="12">
        <v>1.6846094279359867</v>
      </c>
      <c r="T12" s="12">
        <v>1.6846094279359867</v>
      </c>
      <c r="U12" s="12">
        <v>-0.03</v>
      </c>
      <c r="V12" s="13">
        <v>-0.03</v>
      </c>
      <c r="W12" s="12">
        <v>-0.03</v>
      </c>
      <c r="X12" s="12">
        <v>1.6846094279359867</v>
      </c>
      <c r="Y12" s="12">
        <v>1.6846094279359867</v>
      </c>
      <c r="Z12" s="12">
        <v>-0.03</v>
      </c>
      <c r="AA12" s="13">
        <v>-0.03</v>
      </c>
      <c r="AB12" s="37">
        <v>0.5</v>
      </c>
    </row>
    <row r="13" spans="1:29" s="9" customFormat="1" ht="35.25" customHeight="1" x14ac:dyDescent="0.35">
      <c r="A13" s="56"/>
      <c r="B13" s="10" t="s">
        <v>12</v>
      </c>
      <c r="C13" s="11">
        <v>0.8</v>
      </c>
      <c r="D13" s="12">
        <v>1.6846094279359867</v>
      </c>
      <c r="E13" s="12">
        <v>1.6846094279359867</v>
      </c>
      <c r="F13" s="12">
        <v>1.2</v>
      </c>
      <c r="G13" s="13">
        <v>-0.03</v>
      </c>
      <c r="H13" s="48">
        <v>100</v>
      </c>
      <c r="I13" s="12">
        <v>1.6846094279359867</v>
      </c>
      <c r="J13" s="12">
        <v>1.6846094279359867</v>
      </c>
      <c r="K13" s="12">
        <v>1.2</v>
      </c>
      <c r="L13" s="13">
        <v>-0.03</v>
      </c>
      <c r="M13" s="48">
        <v>100</v>
      </c>
      <c r="N13" s="12">
        <v>1.6846094279359867</v>
      </c>
      <c r="O13" s="12">
        <v>1.6846094279359867</v>
      </c>
      <c r="P13" s="12">
        <v>1.2</v>
      </c>
      <c r="Q13" s="13">
        <v>-0.03</v>
      </c>
      <c r="R13" s="40">
        <v>1.6846094279359867</v>
      </c>
      <c r="S13" s="12">
        <v>1.6846094279359867</v>
      </c>
      <c r="T13" s="12">
        <v>1.6846094279359867</v>
      </c>
      <c r="U13" s="12">
        <v>1.2</v>
      </c>
      <c r="V13" s="13">
        <v>-0.03</v>
      </c>
      <c r="W13" s="12">
        <v>1.2</v>
      </c>
      <c r="X13" s="12">
        <v>1.6846094279359867</v>
      </c>
      <c r="Y13" s="12">
        <v>1.6846094279359867</v>
      </c>
      <c r="Z13" s="12">
        <v>1.2</v>
      </c>
      <c r="AA13" s="13">
        <v>-0.03</v>
      </c>
      <c r="AB13" s="37">
        <v>0.5</v>
      </c>
    </row>
    <row r="14" spans="1:29" s="19" customFormat="1" ht="35.25" customHeight="1" x14ac:dyDescent="0.35">
      <c r="A14" s="56"/>
      <c r="B14" s="10" t="s">
        <v>13</v>
      </c>
      <c r="C14" s="11">
        <v>0.8</v>
      </c>
      <c r="D14" s="12">
        <v>1.6846094279359867</v>
      </c>
      <c r="E14" s="12">
        <v>1.6846094279359867</v>
      </c>
      <c r="F14" s="12">
        <v>-0.03</v>
      </c>
      <c r="G14" s="13">
        <v>0.8</v>
      </c>
      <c r="H14" s="48">
        <v>100</v>
      </c>
      <c r="I14" s="12">
        <v>1.6846094279359867</v>
      </c>
      <c r="J14" s="12">
        <v>1.6846094279359867</v>
      </c>
      <c r="K14" s="12">
        <v>-0.03</v>
      </c>
      <c r="L14" s="13">
        <v>0.8</v>
      </c>
      <c r="M14" s="48">
        <v>100</v>
      </c>
      <c r="N14" s="12">
        <v>1.6846094279359867</v>
      </c>
      <c r="O14" s="12">
        <v>1.6846094279359867</v>
      </c>
      <c r="P14" s="12">
        <v>-0.03</v>
      </c>
      <c r="Q14" s="13">
        <v>0.8</v>
      </c>
      <c r="R14" s="40">
        <v>1.6846094279359867</v>
      </c>
      <c r="S14" s="12">
        <v>1.6846094279359867</v>
      </c>
      <c r="T14" s="12">
        <v>1.6846094279359867</v>
      </c>
      <c r="U14" s="12">
        <v>-0.03</v>
      </c>
      <c r="V14" s="13">
        <v>0.8</v>
      </c>
      <c r="W14" s="12">
        <v>-0.03</v>
      </c>
      <c r="X14" s="12">
        <v>1.6846094279359867</v>
      </c>
      <c r="Y14" s="12">
        <v>1.6846094279359867</v>
      </c>
      <c r="Z14" s="12">
        <v>-0.03</v>
      </c>
      <c r="AA14" s="13">
        <v>0.8</v>
      </c>
      <c r="AB14" s="37">
        <v>0.5</v>
      </c>
    </row>
    <row r="15" spans="1:29" s="19" customFormat="1" ht="35.25" customHeight="1" x14ac:dyDescent="0.35">
      <c r="A15" s="56"/>
      <c r="B15" s="10" t="s">
        <v>14</v>
      </c>
      <c r="C15" s="11">
        <v>0.8</v>
      </c>
      <c r="D15" s="12">
        <v>1.6846094279359867</v>
      </c>
      <c r="E15" s="12">
        <v>1.6846094279359867</v>
      </c>
      <c r="F15" s="12">
        <v>0.9</v>
      </c>
      <c r="G15" s="13">
        <v>-0.03</v>
      </c>
      <c r="H15" s="48">
        <v>100</v>
      </c>
      <c r="I15" s="12">
        <v>1.6846094279359867</v>
      </c>
      <c r="J15" s="12">
        <v>1.6846094279359867</v>
      </c>
      <c r="K15" s="12">
        <v>0.9</v>
      </c>
      <c r="L15" s="13">
        <v>-0.03</v>
      </c>
      <c r="M15" s="48">
        <v>100</v>
      </c>
      <c r="N15" s="12">
        <v>1.6846094279359867</v>
      </c>
      <c r="O15" s="12">
        <v>1.6846094279359867</v>
      </c>
      <c r="P15" s="12">
        <v>0.9</v>
      </c>
      <c r="Q15" s="13">
        <v>-0.03</v>
      </c>
      <c r="R15" s="40">
        <v>1.6846094279359867</v>
      </c>
      <c r="S15" s="12">
        <v>1.6846094279359867</v>
      </c>
      <c r="T15" s="12">
        <v>1.6846094279359867</v>
      </c>
      <c r="U15" s="12">
        <v>0.9</v>
      </c>
      <c r="V15" s="13">
        <v>-0.03</v>
      </c>
      <c r="W15" s="12">
        <v>0.9</v>
      </c>
      <c r="X15" s="12">
        <v>1.6846094279359867</v>
      </c>
      <c r="Y15" s="12">
        <v>1.6846094279359867</v>
      </c>
      <c r="Z15" s="12">
        <v>0.9</v>
      </c>
      <c r="AA15" s="13">
        <v>-0.03</v>
      </c>
      <c r="AB15" s="37">
        <v>0.5</v>
      </c>
    </row>
    <row r="16" spans="1:29" s="9" customFormat="1" ht="35.25" customHeight="1" x14ac:dyDescent="0.35">
      <c r="A16" s="56"/>
      <c r="B16" s="10" t="s">
        <v>15</v>
      </c>
      <c r="C16" s="11">
        <v>0.8</v>
      </c>
      <c r="D16" s="12">
        <v>1.6846094279359867</v>
      </c>
      <c r="E16" s="12">
        <v>1.6846094279359867</v>
      </c>
      <c r="F16" s="12">
        <v>-0.03</v>
      </c>
      <c r="G16" s="13">
        <v>1.1000000000000001</v>
      </c>
      <c r="H16" s="48">
        <v>100</v>
      </c>
      <c r="I16" s="12">
        <v>1.6846094279359867</v>
      </c>
      <c r="J16" s="12">
        <v>1.6846094279359867</v>
      </c>
      <c r="K16" s="12">
        <v>-0.03</v>
      </c>
      <c r="L16" s="13">
        <v>1.1000000000000001</v>
      </c>
      <c r="M16" s="48">
        <v>100</v>
      </c>
      <c r="N16" s="12">
        <v>1.6846094279359867</v>
      </c>
      <c r="O16" s="12">
        <v>1.6846094279359867</v>
      </c>
      <c r="P16" s="12">
        <v>-0.03</v>
      </c>
      <c r="Q16" s="13">
        <v>1.1000000000000001</v>
      </c>
      <c r="R16" s="40">
        <v>1.6846094279359867</v>
      </c>
      <c r="S16" s="12">
        <v>1.6846094279359867</v>
      </c>
      <c r="T16" s="12">
        <v>1.6846094279359867</v>
      </c>
      <c r="U16" s="12">
        <v>-0.03</v>
      </c>
      <c r="V16" s="13">
        <v>1.1000000000000001</v>
      </c>
      <c r="W16" s="12">
        <v>-0.03</v>
      </c>
      <c r="X16" s="12">
        <v>1.6846094279359867</v>
      </c>
      <c r="Y16" s="12">
        <v>1.6846094279359867</v>
      </c>
      <c r="Z16" s="12">
        <v>-0.03</v>
      </c>
      <c r="AA16" s="12">
        <v>1.1000000000000001</v>
      </c>
      <c r="AB16" s="37">
        <v>0.5</v>
      </c>
    </row>
    <row r="17" spans="1:28" s="9" customFormat="1" ht="35.25" customHeight="1" thickBot="1" x14ac:dyDescent="0.4">
      <c r="A17" s="57"/>
      <c r="B17" s="14" t="s">
        <v>16</v>
      </c>
      <c r="C17" s="16">
        <v>0.8</v>
      </c>
      <c r="D17" s="17">
        <v>1.6846094279359867</v>
      </c>
      <c r="E17" s="17">
        <v>1.6846094279359867</v>
      </c>
      <c r="F17" s="12">
        <v>1.5</v>
      </c>
      <c r="G17" s="18">
        <v>-0.03</v>
      </c>
      <c r="H17" s="20">
        <v>100</v>
      </c>
      <c r="I17" s="17">
        <v>1.6846094279359867</v>
      </c>
      <c r="J17" s="17">
        <v>1.6846094279359867</v>
      </c>
      <c r="K17" s="12">
        <v>1.5</v>
      </c>
      <c r="L17" s="18">
        <v>-0.03</v>
      </c>
      <c r="M17" s="20">
        <v>100</v>
      </c>
      <c r="N17" s="17">
        <v>1.6846094279359867</v>
      </c>
      <c r="O17" s="17">
        <v>1.6846094279359867</v>
      </c>
      <c r="P17" s="12">
        <v>1.5</v>
      </c>
      <c r="Q17" s="18">
        <v>-0.03</v>
      </c>
      <c r="R17" s="41">
        <v>1.6846094279359867</v>
      </c>
      <c r="S17" s="17">
        <v>1.6846094279359867</v>
      </c>
      <c r="T17" s="17">
        <v>1.6846094279359867</v>
      </c>
      <c r="U17" s="12">
        <v>1.5</v>
      </c>
      <c r="V17" s="18">
        <v>-0.03</v>
      </c>
      <c r="W17" s="12">
        <v>1.5</v>
      </c>
      <c r="X17" s="17">
        <v>1.6846094279359867</v>
      </c>
      <c r="Y17" s="17">
        <v>1.6846094279359867</v>
      </c>
      <c r="Z17" s="12">
        <v>1.5</v>
      </c>
      <c r="AA17" s="18">
        <v>-0.03</v>
      </c>
      <c r="AB17" s="38">
        <v>0.5</v>
      </c>
    </row>
    <row r="18" spans="1:28" s="9" customFormat="1" ht="35.25" customHeight="1" thickBot="1" x14ac:dyDescent="0.4">
      <c r="A18" s="22" t="s">
        <v>17</v>
      </c>
      <c r="B18" s="23" t="s">
        <v>18</v>
      </c>
      <c r="C18" s="24">
        <v>0.8</v>
      </c>
      <c r="D18" s="25">
        <v>1.6846094279359867</v>
      </c>
      <c r="E18" s="25">
        <v>1.6846094279359867</v>
      </c>
      <c r="F18" s="7">
        <v>-0.03</v>
      </c>
      <c r="G18" s="8">
        <v>-0.03</v>
      </c>
      <c r="H18" s="49">
        <v>100</v>
      </c>
      <c r="I18" s="25">
        <v>1.6846094279359867</v>
      </c>
      <c r="J18" s="25">
        <v>1.6846094279359867</v>
      </c>
      <c r="K18" s="7">
        <v>-0.03</v>
      </c>
      <c r="L18" s="8">
        <v>-0.03</v>
      </c>
      <c r="M18" s="49">
        <v>100</v>
      </c>
      <c r="N18" s="25">
        <v>1.6846094279359867</v>
      </c>
      <c r="O18" s="25">
        <v>1.6846094279359867</v>
      </c>
      <c r="P18" s="7">
        <v>-0.03</v>
      </c>
      <c r="Q18" s="8">
        <v>-0.03</v>
      </c>
      <c r="R18" s="42">
        <v>1.6846094279359867</v>
      </c>
      <c r="S18" s="25">
        <v>1.6846094279359867</v>
      </c>
      <c r="T18" s="25">
        <v>1.6846094279359867</v>
      </c>
      <c r="U18" s="7">
        <v>-0.03</v>
      </c>
      <c r="V18" s="8">
        <v>-0.03</v>
      </c>
      <c r="W18" s="7">
        <v>-0.03</v>
      </c>
      <c r="X18" s="25">
        <v>1.6846094279359867</v>
      </c>
      <c r="Y18" s="25">
        <v>1.6846094279359867</v>
      </c>
      <c r="Z18" s="7">
        <v>-0.03</v>
      </c>
      <c r="AA18" s="7">
        <v>-0.03</v>
      </c>
      <c r="AB18" s="36">
        <v>0.5</v>
      </c>
    </row>
    <row r="19" spans="1:28" s="9" customFormat="1" ht="35.25" customHeight="1" thickBot="1" x14ac:dyDescent="0.4">
      <c r="A19" s="26" t="s">
        <v>19</v>
      </c>
      <c r="B19" s="23" t="s">
        <v>20</v>
      </c>
      <c r="C19" s="24">
        <v>0.8</v>
      </c>
      <c r="D19" s="25">
        <v>1.6846094279359867</v>
      </c>
      <c r="E19" s="25">
        <v>1.6846094279359867</v>
      </c>
      <c r="F19" s="7">
        <v>-0.03</v>
      </c>
      <c r="G19" s="8">
        <v>-0.03</v>
      </c>
      <c r="H19" s="49">
        <v>100</v>
      </c>
      <c r="I19" s="25">
        <v>1.6846094279359867</v>
      </c>
      <c r="J19" s="25">
        <v>1.6846094279359867</v>
      </c>
      <c r="K19" s="7">
        <v>-0.03</v>
      </c>
      <c r="L19" s="8">
        <v>-0.03</v>
      </c>
      <c r="M19" s="49">
        <v>100</v>
      </c>
      <c r="N19" s="25">
        <v>1.6846094279359867</v>
      </c>
      <c r="O19" s="25">
        <v>1.6846094279359867</v>
      </c>
      <c r="P19" s="7">
        <v>-0.03</v>
      </c>
      <c r="Q19" s="8">
        <v>-0.03</v>
      </c>
      <c r="R19" s="42">
        <v>1.6846094279359867</v>
      </c>
      <c r="S19" s="25">
        <v>1.6846094279359867</v>
      </c>
      <c r="T19" s="25">
        <v>1.6846094279359867</v>
      </c>
      <c r="U19" s="7">
        <v>-0.03</v>
      </c>
      <c r="V19" s="8">
        <v>-0.03</v>
      </c>
      <c r="W19" s="7">
        <v>-0.03</v>
      </c>
      <c r="X19" s="25">
        <v>1.6846094279359867</v>
      </c>
      <c r="Y19" s="25">
        <v>1.6846094279359867</v>
      </c>
      <c r="Z19" s="7">
        <v>-0.03</v>
      </c>
      <c r="AA19" s="7">
        <v>-0.03</v>
      </c>
      <c r="AB19" s="36">
        <v>0.5</v>
      </c>
    </row>
    <row r="20" spans="1:28" s="19" customFormat="1" ht="35.25" customHeight="1" x14ac:dyDescent="0.35">
      <c r="A20" s="55" t="s">
        <v>21</v>
      </c>
      <c r="B20" s="10" t="s">
        <v>22</v>
      </c>
      <c r="C20" s="6">
        <v>0.8</v>
      </c>
      <c r="D20" s="7">
        <v>1.6846094279359867</v>
      </c>
      <c r="E20" s="7">
        <v>1.6846094279359867</v>
      </c>
      <c r="F20" s="7">
        <v>0.78</v>
      </c>
      <c r="G20" s="8">
        <v>-0.03</v>
      </c>
      <c r="H20" s="47">
        <v>100</v>
      </c>
      <c r="I20" s="7">
        <v>1.6846094279359867</v>
      </c>
      <c r="J20" s="7">
        <v>1.6846094279359867</v>
      </c>
      <c r="K20" s="7">
        <v>0.78</v>
      </c>
      <c r="L20" s="8">
        <v>-0.03</v>
      </c>
      <c r="M20" s="47">
        <v>100</v>
      </c>
      <c r="N20" s="7">
        <v>1.6846094279359867</v>
      </c>
      <c r="O20" s="7">
        <v>1.6846094279359867</v>
      </c>
      <c r="P20" s="7">
        <v>0.78</v>
      </c>
      <c r="Q20" s="8">
        <v>-0.03</v>
      </c>
      <c r="R20" s="39">
        <v>1.6846094279359867</v>
      </c>
      <c r="S20" s="7">
        <v>1.6846094279359867</v>
      </c>
      <c r="T20" s="7">
        <v>1.6846094279359867</v>
      </c>
      <c r="U20" s="7">
        <v>0.78</v>
      </c>
      <c r="V20" s="8">
        <v>-0.03</v>
      </c>
      <c r="W20" s="7">
        <v>0.78</v>
      </c>
      <c r="X20" s="7">
        <v>1.6846094279359867</v>
      </c>
      <c r="Y20" s="7">
        <v>1.6846094279359867</v>
      </c>
      <c r="Z20" s="7">
        <v>0.78</v>
      </c>
      <c r="AA20" s="8">
        <v>-0.03</v>
      </c>
      <c r="AB20" s="36">
        <v>0.5</v>
      </c>
    </row>
    <row r="21" spans="1:28" s="9" customFormat="1" ht="35.25" customHeight="1" x14ac:dyDescent="0.35">
      <c r="A21" s="56"/>
      <c r="B21" s="10" t="s">
        <v>23</v>
      </c>
      <c r="C21" s="11">
        <v>0.8</v>
      </c>
      <c r="D21" s="12">
        <v>1.6846094279359867</v>
      </c>
      <c r="E21" s="12">
        <v>1.6846094279359867</v>
      </c>
      <c r="F21" s="12">
        <v>-0.03</v>
      </c>
      <c r="G21" s="13">
        <v>0.6</v>
      </c>
      <c r="H21" s="48">
        <v>100</v>
      </c>
      <c r="I21" s="12">
        <v>1.6846094279359867</v>
      </c>
      <c r="J21" s="12">
        <v>1.6846094279359867</v>
      </c>
      <c r="K21" s="12">
        <v>-0.03</v>
      </c>
      <c r="L21" s="13">
        <v>0.6</v>
      </c>
      <c r="M21" s="48">
        <v>100</v>
      </c>
      <c r="N21" s="12">
        <v>1.6846094279359867</v>
      </c>
      <c r="O21" s="12">
        <v>1.6846094279359867</v>
      </c>
      <c r="P21" s="12">
        <v>-0.03</v>
      </c>
      <c r="Q21" s="13">
        <v>0.6</v>
      </c>
      <c r="R21" s="40">
        <v>1.6846094279359867</v>
      </c>
      <c r="S21" s="12">
        <v>1.6846094279359867</v>
      </c>
      <c r="T21" s="12">
        <v>1.6846094279359867</v>
      </c>
      <c r="U21" s="12">
        <v>-0.03</v>
      </c>
      <c r="V21" s="13">
        <v>0.6</v>
      </c>
      <c r="W21" s="12">
        <v>-0.03</v>
      </c>
      <c r="X21" s="12">
        <v>1.6846094279359867</v>
      </c>
      <c r="Y21" s="12">
        <v>1.6846094279359867</v>
      </c>
      <c r="Z21" s="12">
        <v>-0.03</v>
      </c>
      <c r="AA21" s="12">
        <v>0.6</v>
      </c>
      <c r="AB21" s="37">
        <v>0.5</v>
      </c>
    </row>
    <row r="22" spans="1:28" s="9" customFormat="1" ht="35.25" customHeight="1" x14ac:dyDescent="0.35">
      <c r="A22" s="56"/>
      <c r="B22" s="10" t="s">
        <v>24</v>
      </c>
      <c r="C22" s="11">
        <v>0.8</v>
      </c>
      <c r="D22" s="12">
        <v>1.6846094279359867</v>
      </c>
      <c r="E22" s="12">
        <v>1.6846094279359867</v>
      </c>
      <c r="F22" s="12">
        <v>0.55000000000000004</v>
      </c>
      <c r="G22" s="13">
        <v>0.48</v>
      </c>
      <c r="H22" s="48">
        <v>100</v>
      </c>
      <c r="I22" s="12">
        <v>1.6846094279359867</v>
      </c>
      <c r="J22" s="12">
        <v>1.6846094279359867</v>
      </c>
      <c r="K22" s="12">
        <v>0.55000000000000004</v>
      </c>
      <c r="L22" s="13">
        <v>0.48</v>
      </c>
      <c r="M22" s="48">
        <v>100</v>
      </c>
      <c r="N22" s="12">
        <v>1.6846094279359867</v>
      </c>
      <c r="O22" s="12">
        <v>1.6846094279359867</v>
      </c>
      <c r="P22" s="12">
        <v>0.55000000000000004</v>
      </c>
      <c r="Q22" s="13">
        <v>0.48</v>
      </c>
      <c r="R22" s="40">
        <v>1.6846094279359867</v>
      </c>
      <c r="S22" s="12">
        <v>1.6846094279359867</v>
      </c>
      <c r="T22" s="12">
        <v>1.6846094279359867</v>
      </c>
      <c r="U22" s="12">
        <v>0.55000000000000004</v>
      </c>
      <c r="V22" s="13">
        <v>0.48</v>
      </c>
      <c r="W22" s="12">
        <v>0.55000000000000004</v>
      </c>
      <c r="X22" s="12">
        <v>1.6846094279359867</v>
      </c>
      <c r="Y22" s="12">
        <v>1.6846094279359867</v>
      </c>
      <c r="Z22" s="12">
        <v>0.55000000000000004</v>
      </c>
      <c r="AA22" s="13">
        <v>0.48</v>
      </c>
      <c r="AB22" s="37">
        <v>0.5</v>
      </c>
    </row>
    <row r="23" spans="1:28" s="19" customFormat="1" ht="35.25" customHeight="1" x14ac:dyDescent="0.35">
      <c r="A23" s="56"/>
      <c r="B23" s="10" t="s">
        <v>25</v>
      </c>
      <c r="C23" s="11">
        <v>0.8</v>
      </c>
      <c r="D23" s="12">
        <v>1.6846094279359867</v>
      </c>
      <c r="E23" s="12">
        <v>1.6846094279359867</v>
      </c>
      <c r="F23" s="12">
        <v>0.45</v>
      </c>
      <c r="G23" s="13">
        <v>-0.03</v>
      </c>
      <c r="H23" s="48">
        <v>100</v>
      </c>
      <c r="I23" s="12">
        <v>1.6846094279359867</v>
      </c>
      <c r="J23" s="12">
        <v>1.6846094279359867</v>
      </c>
      <c r="K23" s="12">
        <v>0.45</v>
      </c>
      <c r="L23" s="13">
        <v>-0.03</v>
      </c>
      <c r="M23" s="48">
        <v>100</v>
      </c>
      <c r="N23" s="12">
        <v>1.6846094279359867</v>
      </c>
      <c r="O23" s="12">
        <v>1.6846094279359867</v>
      </c>
      <c r="P23" s="12">
        <v>0.45</v>
      </c>
      <c r="Q23" s="13">
        <v>-0.03</v>
      </c>
      <c r="R23" s="40">
        <v>1.6846094279359867</v>
      </c>
      <c r="S23" s="12">
        <v>1.6846094279359867</v>
      </c>
      <c r="T23" s="12">
        <v>1.6846094279359867</v>
      </c>
      <c r="U23" s="12">
        <v>0.45</v>
      </c>
      <c r="V23" s="13">
        <v>-0.03</v>
      </c>
      <c r="W23" s="12">
        <v>0.45</v>
      </c>
      <c r="X23" s="12">
        <v>1.6846094279359867</v>
      </c>
      <c r="Y23" s="12">
        <v>1.6846094279359867</v>
      </c>
      <c r="Z23" s="12">
        <v>0.45</v>
      </c>
      <c r="AA23" s="13">
        <v>-0.03</v>
      </c>
      <c r="AB23" s="37">
        <v>0.5</v>
      </c>
    </row>
    <row r="24" spans="1:28" s="19" customFormat="1" ht="35.25" customHeight="1" thickBot="1" x14ac:dyDescent="0.4">
      <c r="A24" s="56"/>
      <c r="B24" s="10" t="s">
        <v>26</v>
      </c>
      <c r="C24" s="16">
        <v>0.8</v>
      </c>
      <c r="D24" s="17">
        <v>1.6846094279359867</v>
      </c>
      <c r="E24" s="17">
        <v>1.6846094279359867</v>
      </c>
      <c r="F24" s="17">
        <v>-0.03</v>
      </c>
      <c r="G24" s="13">
        <v>-0.03</v>
      </c>
      <c r="H24" s="20">
        <v>100</v>
      </c>
      <c r="I24" s="17">
        <v>1.6846094279359867</v>
      </c>
      <c r="J24" s="17">
        <v>1.6846094279359867</v>
      </c>
      <c r="K24" s="17">
        <v>-0.03</v>
      </c>
      <c r="L24" s="13">
        <v>-0.03</v>
      </c>
      <c r="M24" s="20">
        <v>100</v>
      </c>
      <c r="N24" s="17">
        <v>1.6846094279359867</v>
      </c>
      <c r="O24" s="17">
        <v>1.6846094279359867</v>
      </c>
      <c r="P24" s="17">
        <v>-0.03</v>
      </c>
      <c r="Q24" s="13">
        <v>-0.03</v>
      </c>
      <c r="R24" s="41">
        <v>1.6846094279359867</v>
      </c>
      <c r="S24" s="17">
        <v>1.6846094279359867</v>
      </c>
      <c r="T24" s="17">
        <v>1.6846094279359867</v>
      </c>
      <c r="U24" s="17">
        <v>-0.03</v>
      </c>
      <c r="V24" s="13">
        <v>-0.03</v>
      </c>
      <c r="W24" s="17">
        <v>-0.03</v>
      </c>
      <c r="X24" s="17">
        <v>1.6846094279359867</v>
      </c>
      <c r="Y24" s="17">
        <v>1.6846094279359867</v>
      </c>
      <c r="Z24" s="17">
        <v>-0.03</v>
      </c>
      <c r="AA24" s="12">
        <v>-0.03</v>
      </c>
      <c r="AB24" s="37">
        <v>0.5</v>
      </c>
    </row>
    <row r="25" spans="1:28" s="9" customFormat="1" ht="35.25" customHeight="1" x14ac:dyDescent="0.35">
      <c r="A25" s="55" t="s">
        <v>27</v>
      </c>
      <c r="B25" s="28" t="s">
        <v>28</v>
      </c>
      <c r="C25" s="11">
        <v>0.8</v>
      </c>
      <c r="D25" s="12">
        <v>1.6846094279359867</v>
      </c>
      <c r="E25" s="12">
        <v>1.6846094279359867</v>
      </c>
      <c r="F25" s="7">
        <v>-0.03</v>
      </c>
      <c r="G25" s="8">
        <v>0.7</v>
      </c>
      <c r="H25" s="48">
        <v>100</v>
      </c>
      <c r="I25" s="12">
        <v>1.6846094279359867</v>
      </c>
      <c r="J25" s="12">
        <v>1.6846094279359867</v>
      </c>
      <c r="K25" s="7">
        <v>-0.03</v>
      </c>
      <c r="L25" s="8">
        <v>0.7</v>
      </c>
      <c r="M25" s="48">
        <v>100</v>
      </c>
      <c r="N25" s="12">
        <v>1.6846094279359867</v>
      </c>
      <c r="O25" s="12">
        <v>1.6846094279359867</v>
      </c>
      <c r="P25" s="7">
        <v>-0.03</v>
      </c>
      <c r="Q25" s="8">
        <v>0.7</v>
      </c>
      <c r="R25" s="40">
        <v>1.6846094279359867</v>
      </c>
      <c r="S25" s="12">
        <v>1.6846094279359867</v>
      </c>
      <c r="T25" s="12">
        <v>1.6846094279359867</v>
      </c>
      <c r="U25" s="7">
        <v>-0.03</v>
      </c>
      <c r="V25" s="8">
        <v>0.7</v>
      </c>
      <c r="W25" s="7">
        <v>-0.03</v>
      </c>
      <c r="X25" s="12">
        <v>1.6846094279359867</v>
      </c>
      <c r="Y25" s="12">
        <v>1.6846094279359867</v>
      </c>
      <c r="Z25" s="7">
        <v>-0.03</v>
      </c>
      <c r="AA25" s="8">
        <v>0.7</v>
      </c>
      <c r="AB25" s="36">
        <v>0.5</v>
      </c>
    </row>
    <row r="26" spans="1:28" s="9" customFormat="1" ht="35.25" customHeight="1" x14ac:dyDescent="0.35">
      <c r="A26" s="56"/>
      <c r="B26" s="10" t="s">
        <v>29</v>
      </c>
      <c r="C26" s="11">
        <v>0.8</v>
      </c>
      <c r="D26" s="12">
        <v>1.6846094279359867</v>
      </c>
      <c r="E26" s="12">
        <v>1.6846094279359867</v>
      </c>
      <c r="F26" s="12">
        <v>-0.03</v>
      </c>
      <c r="G26" s="13">
        <v>0.99</v>
      </c>
      <c r="H26" s="48">
        <v>100</v>
      </c>
      <c r="I26" s="12">
        <v>1.6846094279359867</v>
      </c>
      <c r="J26" s="12">
        <v>1.6846094279359867</v>
      </c>
      <c r="K26" s="12">
        <v>-0.03</v>
      </c>
      <c r="L26" s="13">
        <v>0.99</v>
      </c>
      <c r="M26" s="48">
        <v>100</v>
      </c>
      <c r="N26" s="12">
        <v>1.6846094279359867</v>
      </c>
      <c r="O26" s="12">
        <v>1.6846094279359867</v>
      </c>
      <c r="P26" s="12">
        <v>-0.03</v>
      </c>
      <c r="Q26" s="13">
        <v>0.99</v>
      </c>
      <c r="R26" s="40">
        <v>1.6846094279359867</v>
      </c>
      <c r="S26" s="12">
        <v>1.6846094279359867</v>
      </c>
      <c r="T26" s="12">
        <v>1.6846094279359867</v>
      </c>
      <c r="U26" s="12">
        <v>-0.03</v>
      </c>
      <c r="V26" s="13">
        <v>0.99</v>
      </c>
      <c r="W26" s="12">
        <v>-0.03</v>
      </c>
      <c r="X26" s="12">
        <v>1.6846094279359867</v>
      </c>
      <c r="Y26" s="12">
        <v>1.6846094279359867</v>
      </c>
      <c r="Z26" s="12">
        <v>-0.03</v>
      </c>
      <c r="AA26" s="12">
        <v>0.99</v>
      </c>
      <c r="AB26" s="37">
        <v>0.5</v>
      </c>
    </row>
    <row r="27" spans="1:28" s="19" customFormat="1" ht="35.25" customHeight="1" thickBot="1" x14ac:dyDescent="0.4">
      <c r="A27" s="57"/>
      <c r="B27" s="14" t="s">
        <v>30</v>
      </c>
      <c r="C27" s="16">
        <v>0.8</v>
      </c>
      <c r="D27" s="17">
        <v>1.6846094279359867</v>
      </c>
      <c r="E27" s="17">
        <v>1.6846094279359867</v>
      </c>
      <c r="F27" s="17">
        <v>0.56000000000000005</v>
      </c>
      <c r="G27" s="18">
        <v>0.56000000000000005</v>
      </c>
      <c r="H27" s="20">
        <v>100</v>
      </c>
      <c r="I27" s="17">
        <v>1.6846094279359867</v>
      </c>
      <c r="J27" s="17">
        <v>1.6846094279359867</v>
      </c>
      <c r="K27" s="17">
        <v>0.56000000000000005</v>
      </c>
      <c r="L27" s="18">
        <v>0.56000000000000005</v>
      </c>
      <c r="M27" s="20">
        <v>100</v>
      </c>
      <c r="N27" s="17">
        <v>1.6846094279359867</v>
      </c>
      <c r="O27" s="17">
        <v>1.6846094279359867</v>
      </c>
      <c r="P27" s="17">
        <v>0.56000000000000005</v>
      </c>
      <c r="Q27" s="18">
        <v>0.56000000000000005</v>
      </c>
      <c r="R27" s="41">
        <v>1.6846094279359867</v>
      </c>
      <c r="S27" s="17">
        <v>1.6846094279359867</v>
      </c>
      <c r="T27" s="17">
        <v>1.6846094279359867</v>
      </c>
      <c r="U27" s="17">
        <v>0.56000000000000005</v>
      </c>
      <c r="V27" s="18">
        <v>0.56000000000000005</v>
      </c>
      <c r="W27" s="17">
        <v>0.56000000000000005</v>
      </c>
      <c r="X27" s="17">
        <v>1.6846094279359867</v>
      </c>
      <c r="Y27" s="17">
        <v>1.6846094279359867</v>
      </c>
      <c r="Z27" s="17">
        <v>0.56000000000000005</v>
      </c>
      <c r="AA27" s="18">
        <v>0.56000000000000005</v>
      </c>
      <c r="AB27" s="38">
        <v>0.5</v>
      </c>
    </row>
    <row r="28" spans="1:28" ht="37.5" customHeight="1" thickBot="1" x14ac:dyDescent="0.4">
      <c r="A28" s="53" t="s">
        <v>33</v>
      </c>
      <c r="B28" s="54"/>
      <c r="C28" s="16">
        <f>AVERAGE(C7:C27)</f>
        <v>0.80000000000000016</v>
      </c>
      <c r="D28" s="21">
        <f>AVERAGE(D21:D25)</f>
        <v>1.6846094279359867</v>
      </c>
      <c r="E28" s="21">
        <f>AVERAGE(E21:E25)</f>
        <v>1.6846094279359867</v>
      </c>
      <c r="F28" s="21">
        <f>AVERAGE(F21:F25)</f>
        <v>0.182</v>
      </c>
      <c r="G28" s="18">
        <v>2</v>
      </c>
      <c r="H28" s="20">
        <f>AVERAGE(H21:H25)</f>
        <v>100</v>
      </c>
      <c r="I28" s="21">
        <f>AVERAGE(I21:I25)</f>
        <v>1.6846094279359867</v>
      </c>
      <c r="J28" s="21">
        <f>AVERAGE(J21:J25)</f>
        <v>1.6846094279359867</v>
      </c>
      <c r="K28" s="21">
        <f>AVERAGE(K21:K25)</f>
        <v>0.182</v>
      </c>
      <c r="L28" s="18">
        <v>2</v>
      </c>
      <c r="M28" s="20">
        <f>AVERAGE(M21:M25)</f>
        <v>100</v>
      </c>
      <c r="N28" s="21">
        <f>AVERAGE(N21:N25)</f>
        <v>1.6846094279359867</v>
      </c>
      <c r="O28" s="21">
        <f>AVERAGE(O21:O25)</f>
        <v>1.6846094279359867</v>
      </c>
      <c r="P28" s="21">
        <f>AVERAGE(P21:P25)</f>
        <v>0.182</v>
      </c>
      <c r="Q28" s="18">
        <v>2</v>
      </c>
      <c r="R28" s="41">
        <v>2</v>
      </c>
      <c r="S28" s="21">
        <f>AVERAGE(S21:S25)</f>
        <v>1.6846094279359867</v>
      </c>
      <c r="T28" s="21">
        <f>AVERAGE(T21:T25)</f>
        <v>1.6846094279359867</v>
      </c>
      <c r="U28" s="21">
        <v>2</v>
      </c>
      <c r="V28" s="15">
        <v>2</v>
      </c>
      <c r="W28" s="21">
        <f>AVERAGE(W21:W25)</f>
        <v>0.182</v>
      </c>
      <c r="X28" s="21">
        <f>AVERAGE(X21:X25)</f>
        <v>1.6846094279359867</v>
      </c>
      <c r="Y28" s="21">
        <f>AVERAGE(Y21:Y25)</f>
        <v>1.6846094279359867</v>
      </c>
      <c r="Z28" s="21">
        <f>AVERAGE(Z21:Z25)</f>
        <v>0.182</v>
      </c>
      <c r="AA28" s="27">
        <v>2</v>
      </c>
      <c r="AB28" s="38">
        <v>0.5</v>
      </c>
    </row>
  </sheetData>
  <protectedRanges>
    <protectedRange sqref="A2:B3" name="Range1"/>
    <protectedRange sqref="A5 B4" name="Range2"/>
    <protectedRange sqref="C24:AB24" name="Range4"/>
  </protectedRanges>
  <mergeCells count="12">
    <mergeCell ref="A4:AB4"/>
    <mergeCell ref="A5:B6"/>
    <mergeCell ref="W5:AA5"/>
    <mergeCell ref="R5:V5"/>
    <mergeCell ref="M5:Q5"/>
    <mergeCell ref="H5:L5"/>
    <mergeCell ref="C5:G5"/>
    <mergeCell ref="A28:B28"/>
    <mergeCell ref="A7:A8"/>
    <mergeCell ref="A9:A17"/>
    <mergeCell ref="A20:A24"/>
    <mergeCell ref="A25:A27"/>
  </mergeCells>
  <conditionalFormatting sqref="K7:L27 P7:Q27 L28 Q28 Z8:AB27 U8:W27">
    <cfRule type="cellIs" dxfId="31" priority="60" operator="lessThan">
      <formula>$AC$7</formula>
    </cfRule>
  </conditionalFormatting>
  <conditionalFormatting sqref="AB7">
    <cfRule type="cellIs" dxfId="30" priority="50" operator="lessThan">
      <formula>$AC$7</formula>
    </cfRule>
  </conditionalFormatting>
  <conditionalFormatting sqref="U7">
    <cfRule type="cellIs" dxfId="29" priority="58" operator="lessThan">
      <formula>$AC$7</formula>
    </cfRule>
  </conditionalFormatting>
  <conditionalFormatting sqref="V7">
    <cfRule type="cellIs" dxfId="28" priority="51" operator="lessThan">
      <formula>$AC$7</formula>
    </cfRule>
  </conditionalFormatting>
  <conditionalFormatting sqref="Z7">
    <cfRule type="cellIs" dxfId="27" priority="48" operator="lessThan">
      <formula>$AC$7</formula>
    </cfRule>
  </conditionalFormatting>
  <conditionalFormatting sqref="W7">
    <cfRule type="cellIs" dxfId="26" priority="40" operator="lessThan">
      <formula>$AC$7</formula>
    </cfRule>
  </conditionalFormatting>
  <conditionalFormatting sqref="AA28">
    <cfRule type="cellIs" dxfId="25" priority="33" operator="lessThan">
      <formula>$AC$7</formula>
    </cfRule>
  </conditionalFormatting>
  <conditionalFormatting sqref="V28">
    <cfRule type="cellIs" dxfId="24" priority="29" operator="lessThan">
      <formula>$AC$7</formula>
    </cfRule>
  </conditionalFormatting>
  <conditionalFormatting sqref="AB28">
    <cfRule type="cellIs" dxfId="23" priority="26" operator="lessThan">
      <formula>$AC$7</formula>
    </cfRule>
  </conditionalFormatting>
  <conditionalFormatting sqref="F8:G27">
    <cfRule type="cellIs" dxfId="22" priority="4" operator="lessThan">
      <formula>$AC$7</formula>
    </cfRule>
  </conditionalFormatting>
  <conditionalFormatting sqref="G7">
    <cfRule type="cellIs" dxfId="21" priority="2" operator="lessThan">
      <formula>$AC$7</formula>
    </cfRule>
  </conditionalFormatting>
  <conditionalFormatting sqref="F7">
    <cfRule type="cellIs" dxfId="20" priority="3" operator="lessThan">
      <formula>$AC$7</formula>
    </cfRule>
  </conditionalFormatting>
  <conditionalFormatting sqref="G28">
    <cfRule type="cellIs" dxfId="19" priority="1" operator="lessThan">
      <formula>$AC$7</formula>
    </cfRule>
  </conditionalFormatting>
  <conditionalFormatting sqref="AA7">
    <cfRule type="cellIs" dxfId="18" priority="68" operator="greaterThan">
      <formula>#REF!</formula>
    </cfRule>
  </conditionalFormatting>
  <pageMargins left="0.62992125984251968" right="0.23622047244094491" top="0.55118110236220474" bottom="0.19685039370078741" header="0.31496062992125984" footer="0.31496062992125984"/>
  <pageSetup paperSize="9" scale="56" orientation="landscape" r:id="rId1"/>
  <headerFooter>
    <oddFooter>&amp;CCONFIDENTIAL INFORMATION
This material is confidential and proprietary to Langham Hospitality Group and may not be copied, disclosed, distributed or used without express permission of an authorized representative of LHG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AL28"/>
  <sheetViews>
    <sheetView showGridLines="0" zoomScale="60" zoomScaleNormal="60" workbookViewId="0">
      <selection activeCell="AN13" sqref="A1:XFD1048576"/>
    </sheetView>
  </sheetViews>
  <sheetFormatPr defaultColWidth="8.81640625" defaultRowHeight="16.5" customHeight="1" x14ac:dyDescent="0.35"/>
  <cols>
    <col min="1" max="1" width="14" style="1" customWidth="1"/>
    <col min="2" max="2" width="10.453125" style="1" customWidth="1"/>
    <col min="3" max="3" width="9.1796875" style="1" customWidth="1"/>
    <col min="4" max="5" width="9.1796875" style="1" hidden="1" customWidth="1"/>
    <col min="6" max="7" width="9.1796875" style="1" customWidth="1"/>
    <col min="8" max="8" width="9.7265625" style="1" customWidth="1"/>
    <col min="9" max="10" width="9.7265625" style="1" hidden="1" customWidth="1"/>
    <col min="11" max="12" width="9.7265625" style="1" customWidth="1"/>
    <col min="13" max="13" width="9.54296875" style="1" customWidth="1"/>
    <col min="14" max="15" width="9.54296875" style="1" hidden="1" customWidth="1"/>
    <col min="16" max="17" width="9.54296875" style="1" customWidth="1"/>
    <col min="18" max="18" width="10.54296875" style="1" customWidth="1"/>
    <col min="19" max="20" width="10.54296875" style="1" hidden="1" customWidth="1"/>
    <col min="21" max="22" width="10.54296875" style="1" customWidth="1"/>
    <col min="23" max="23" width="9.81640625" style="29" customWidth="1"/>
    <col min="24" max="25" width="9.81640625" style="1" hidden="1" customWidth="1"/>
    <col min="26" max="27" width="9.81640625" style="1" customWidth="1"/>
    <col min="28" max="28" width="9.54296875" style="1" customWidth="1"/>
    <col min="29" max="30" width="9.54296875" style="1" hidden="1" customWidth="1"/>
    <col min="31" max="32" width="9.54296875" style="1" customWidth="1"/>
    <col min="33" max="33" width="9.1796875" style="1" customWidth="1"/>
    <col min="34" max="35" width="9.1796875" style="1" hidden="1" customWidth="1"/>
    <col min="36" max="37" width="9.1796875" style="1" customWidth="1"/>
    <col min="38" max="38" width="11.453125" style="1" bestFit="1" customWidth="1"/>
    <col min="39" max="16384" width="8.81640625" style="1"/>
  </cols>
  <sheetData>
    <row r="1" spans="1:38" ht="8.25" customHeight="1" x14ac:dyDescent="0.35"/>
    <row r="2" spans="1:38" ht="16.5" customHeight="1" x14ac:dyDescent="0.35">
      <c r="A2" s="2">
        <v>5</v>
      </c>
    </row>
    <row r="3" spans="1:38" ht="16.5" customHeight="1" thickBot="1" x14ac:dyDescent="0.4">
      <c r="A3" s="3"/>
      <c r="B3" s="3"/>
    </row>
    <row r="4" spans="1:38" ht="28.5" customHeight="1" thickBot="1" x14ac:dyDescent="0.4">
      <c r="A4" s="58" t="s">
        <v>32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60"/>
    </row>
    <row r="5" spans="1:38" ht="45" customHeight="1" thickBot="1" x14ac:dyDescent="0.4">
      <c r="A5" s="61" t="s">
        <v>35</v>
      </c>
      <c r="B5" s="62"/>
      <c r="C5" s="67" t="s">
        <v>41</v>
      </c>
      <c r="D5" s="65"/>
      <c r="E5" s="65"/>
      <c r="F5" s="65"/>
      <c r="G5" s="66"/>
      <c r="H5" s="67" t="s">
        <v>42</v>
      </c>
      <c r="I5" s="65"/>
      <c r="J5" s="65"/>
      <c r="K5" s="65"/>
      <c r="L5" s="66"/>
      <c r="M5" s="67" t="s">
        <v>43</v>
      </c>
      <c r="N5" s="65"/>
      <c r="O5" s="65"/>
      <c r="P5" s="65"/>
      <c r="Q5" s="66"/>
      <c r="R5" s="67" t="s">
        <v>44</v>
      </c>
      <c r="S5" s="65"/>
      <c r="T5" s="65"/>
      <c r="U5" s="65"/>
      <c r="V5" s="66"/>
      <c r="W5" s="67" t="s">
        <v>45</v>
      </c>
      <c r="X5" s="65"/>
      <c r="Y5" s="65"/>
      <c r="Z5" s="65"/>
      <c r="AA5" s="66"/>
      <c r="AB5" s="67" t="s">
        <v>46</v>
      </c>
      <c r="AC5" s="65"/>
      <c r="AD5" s="65"/>
      <c r="AE5" s="65"/>
      <c r="AF5" s="66"/>
      <c r="AG5" s="67" t="s">
        <v>47</v>
      </c>
      <c r="AH5" s="65"/>
      <c r="AI5" s="65"/>
      <c r="AJ5" s="65"/>
      <c r="AK5" s="66"/>
    </row>
    <row r="6" spans="1:38" ht="45.75" customHeight="1" thickBot="1" x14ac:dyDescent="0.4">
      <c r="A6" s="63"/>
      <c r="B6" s="64"/>
      <c r="C6" s="31" t="s">
        <v>0</v>
      </c>
      <c r="D6" s="4" t="s">
        <v>1</v>
      </c>
      <c r="E6" s="4" t="s">
        <v>2</v>
      </c>
      <c r="F6" s="4" t="s">
        <v>3</v>
      </c>
      <c r="G6" s="32" t="s">
        <v>4</v>
      </c>
      <c r="H6" s="31" t="s">
        <v>0</v>
      </c>
      <c r="I6" s="4" t="s">
        <v>1</v>
      </c>
      <c r="J6" s="4" t="s">
        <v>2</v>
      </c>
      <c r="K6" s="4" t="s">
        <v>3</v>
      </c>
      <c r="L6" s="32" t="s">
        <v>4</v>
      </c>
      <c r="M6" s="31" t="s">
        <v>0</v>
      </c>
      <c r="N6" s="4" t="s">
        <v>1</v>
      </c>
      <c r="O6" s="4" t="s">
        <v>2</v>
      </c>
      <c r="P6" s="4" t="s">
        <v>3</v>
      </c>
      <c r="Q6" s="32" t="s">
        <v>4</v>
      </c>
      <c r="R6" s="31" t="s">
        <v>0</v>
      </c>
      <c r="S6" s="4" t="s">
        <v>1</v>
      </c>
      <c r="T6" s="4" t="s">
        <v>2</v>
      </c>
      <c r="U6" s="4" t="s">
        <v>3</v>
      </c>
      <c r="V6" s="32" t="s">
        <v>4</v>
      </c>
      <c r="W6" s="30" t="s">
        <v>0</v>
      </c>
      <c r="X6" s="4" t="s">
        <v>1</v>
      </c>
      <c r="Y6" s="4" t="s">
        <v>2</v>
      </c>
      <c r="Z6" s="4" t="s">
        <v>3</v>
      </c>
      <c r="AA6" s="4" t="s">
        <v>4</v>
      </c>
      <c r="AB6" s="30" t="s">
        <v>0</v>
      </c>
      <c r="AC6" s="4" t="s">
        <v>1</v>
      </c>
      <c r="AD6" s="4" t="s">
        <v>2</v>
      </c>
      <c r="AE6" s="4" t="s">
        <v>3</v>
      </c>
      <c r="AF6" s="4" t="s">
        <v>4</v>
      </c>
      <c r="AG6" s="30" t="s">
        <v>0</v>
      </c>
      <c r="AH6" s="4" t="s">
        <v>1</v>
      </c>
      <c r="AI6" s="4" t="s">
        <v>2</v>
      </c>
      <c r="AJ6" s="4" t="s">
        <v>3</v>
      </c>
      <c r="AK6" s="32" t="s">
        <v>4</v>
      </c>
    </row>
    <row r="7" spans="1:38" s="9" customFormat="1" ht="35.25" customHeight="1" x14ac:dyDescent="0.35">
      <c r="A7" s="55" t="s">
        <v>31</v>
      </c>
      <c r="B7" s="5" t="s">
        <v>5</v>
      </c>
      <c r="C7" s="43">
        <v>20</v>
      </c>
      <c r="D7" s="7">
        <v>1.6846094279359867</v>
      </c>
      <c r="E7" s="7">
        <v>1.6846094279359867</v>
      </c>
      <c r="F7" s="7">
        <v>-0.03</v>
      </c>
      <c r="G7" s="8">
        <v>1.6846094279359867</v>
      </c>
      <c r="H7" s="43">
        <v>10</v>
      </c>
      <c r="I7" s="7">
        <v>1.6846094279359867</v>
      </c>
      <c r="J7" s="7">
        <v>1.6846094279359867</v>
      </c>
      <c r="K7" s="7">
        <v>-0.03</v>
      </c>
      <c r="L7" s="8">
        <v>1.6846094279359867</v>
      </c>
      <c r="M7" s="43">
        <v>5</v>
      </c>
      <c r="N7" s="7">
        <v>1.6846094279359867</v>
      </c>
      <c r="O7" s="7">
        <v>1.6846094279359867</v>
      </c>
      <c r="P7" s="7">
        <v>-0.03</v>
      </c>
      <c r="Q7" s="8">
        <v>1.6846094279359867</v>
      </c>
      <c r="R7" s="50">
        <v>8</v>
      </c>
      <c r="S7" s="7">
        <v>1.6846094279359867</v>
      </c>
      <c r="T7" s="7">
        <v>1.6846094279359867</v>
      </c>
      <c r="U7" s="7">
        <v>-0.03</v>
      </c>
      <c r="V7" s="8">
        <v>1.6846094279359867</v>
      </c>
      <c r="W7" s="43">
        <v>3</v>
      </c>
      <c r="X7" s="7">
        <v>1.6846094279359867</v>
      </c>
      <c r="Y7" s="7">
        <v>1.6846094279359867</v>
      </c>
      <c r="Z7" s="7">
        <v>-0.03</v>
      </c>
      <c r="AA7" s="8">
        <v>1.6846094279359867</v>
      </c>
      <c r="AB7" s="43">
        <v>10</v>
      </c>
      <c r="AC7" s="7">
        <v>1.6846094279359867</v>
      </c>
      <c r="AD7" s="7">
        <v>1.6846094279359867</v>
      </c>
      <c r="AE7" s="7">
        <v>-0.03</v>
      </c>
      <c r="AF7" s="7">
        <v>1.6846094279359867</v>
      </c>
      <c r="AG7" s="43">
        <v>10</v>
      </c>
      <c r="AH7" s="7">
        <v>1.6846094279359867</v>
      </c>
      <c r="AI7" s="7">
        <v>1.6846094279359867</v>
      </c>
      <c r="AJ7" s="7">
        <v>-0.03</v>
      </c>
      <c r="AK7" s="8">
        <v>1.6846094279359867</v>
      </c>
      <c r="AL7" s="9">
        <v>0</v>
      </c>
    </row>
    <row r="8" spans="1:38" s="9" customFormat="1" ht="35.25" customHeight="1" thickBot="1" x14ac:dyDescent="0.4">
      <c r="A8" s="56"/>
      <c r="B8" s="14" t="s">
        <v>6</v>
      </c>
      <c r="C8" s="44">
        <v>20</v>
      </c>
      <c r="D8" s="12">
        <v>1.6846094279359867</v>
      </c>
      <c r="E8" s="12">
        <v>1.6846094279359867</v>
      </c>
      <c r="F8" s="12">
        <v>0.1</v>
      </c>
      <c r="G8" s="13">
        <v>-0.03</v>
      </c>
      <c r="H8" s="44">
        <v>10</v>
      </c>
      <c r="I8" s="12">
        <v>1.6846094279359867</v>
      </c>
      <c r="J8" s="12">
        <v>1.6846094279359867</v>
      </c>
      <c r="K8" s="12">
        <v>0.1</v>
      </c>
      <c r="L8" s="13">
        <v>-0.03</v>
      </c>
      <c r="M8" s="44">
        <v>5</v>
      </c>
      <c r="N8" s="12">
        <v>1.6846094279359867</v>
      </c>
      <c r="O8" s="12">
        <v>1.6846094279359867</v>
      </c>
      <c r="P8" s="12">
        <v>0.1</v>
      </c>
      <c r="Q8" s="13">
        <v>-0.03</v>
      </c>
      <c r="R8" s="51">
        <v>8</v>
      </c>
      <c r="S8" s="12">
        <v>1.6846094279359867</v>
      </c>
      <c r="T8" s="12">
        <v>1.6846094279359867</v>
      </c>
      <c r="U8" s="12">
        <v>0.1</v>
      </c>
      <c r="V8" s="13">
        <v>-0.03</v>
      </c>
      <c r="W8" s="44">
        <v>3</v>
      </c>
      <c r="X8" s="12">
        <v>1.6846094279359867</v>
      </c>
      <c r="Y8" s="12">
        <v>1.6846094279359867</v>
      </c>
      <c r="Z8" s="12">
        <v>0.1</v>
      </c>
      <c r="AA8" s="13">
        <v>-0.03</v>
      </c>
      <c r="AB8" s="44">
        <v>10</v>
      </c>
      <c r="AC8" s="12">
        <v>1.68460942793599</v>
      </c>
      <c r="AD8" s="12">
        <v>1.6846094279359867</v>
      </c>
      <c r="AE8" s="12">
        <v>0.1</v>
      </c>
      <c r="AF8" s="12">
        <v>-0.03</v>
      </c>
      <c r="AG8" s="44">
        <v>10</v>
      </c>
      <c r="AH8" s="12">
        <v>1.68460942793599</v>
      </c>
      <c r="AI8" s="12">
        <v>1.6846094279359867</v>
      </c>
      <c r="AJ8" s="12">
        <v>0.1</v>
      </c>
      <c r="AK8" s="13">
        <v>-0.03</v>
      </c>
    </row>
    <row r="9" spans="1:38" s="9" customFormat="1" ht="35.25" customHeight="1" x14ac:dyDescent="0.35">
      <c r="A9" s="55" t="s">
        <v>7</v>
      </c>
      <c r="B9" s="5" t="s">
        <v>8</v>
      </c>
      <c r="C9" s="43">
        <v>20</v>
      </c>
      <c r="D9" s="7">
        <v>1.6846094279359867</v>
      </c>
      <c r="E9" s="7">
        <v>1.6846094279359867</v>
      </c>
      <c r="F9" s="7">
        <v>-0.03</v>
      </c>
      <c r="G9" s="8">
        <v>0.6</v>
      </c>
      <c r="H9" s="43">
        <v>10</v>
      </c>
      <c r="I9" s="7">
        <v>1.68460942793599</v>
      </c>
      <c r="J9" s="7">
        <v>1.6846094279359867</v>
      </c>
      <c r="K9" s="7">
        <v>-0.03</v>
      </c>
      <c r="L9" s="8">
        <v>0.6</v>
      </c>
      <c r="M9" s="43">
        <v>5</v>
      </c>
      <c r="N9" s="7">
        <v>1.6846094279359867</v>
      </c>
      <c r="O9" s="7">
        <v>1.6846094279359867</v>
      </c>
      <c r="P9" s="7">
        <v>-0.03</v>
      </c>
      <c r="Q9" s="8">
        <v>0.6</v>
      </c>
      <c r="R9" s="50">
        <v>8</v>
      </c>
      <c r="S9" s="7">
        <v>1.6846094279359867</v>
      </c>
      <c r="T9" s="7">
        <v>1.6846094279359867</v>
      </c>
      <c r="U9" s="7">
        <v>-0.03</v>
      </c>
      <c r="V9" s="7">
        <v>0.6</v>
      </c>
      <c r="W9" s="43">
        <v>3</v>
      </c>
      <c r="X9" s="7">
        <v>1.6846094279359867</v>
      </c>
      <c r="Y9" s="7">
        <v>1.6846094279359867</v>
      </c>
      <c r="Z9" s="7">
        <v>-0.03</v>
      </c>
      <c r="AA9" s="7">
        <v>0.6</v>
      </c>
      <c r="AB9" s="43">
        <v>10</v>
      </c>
      <c r="AC9" s="7">
        <v>1.6846094279359867</v>
      </c>
      <c r="AD9" s="7">
        <v>1.6846094279359867</v>
      </c>
      <c r="AE9" s="7">
        <v>-0.03</v>
      </c>
      <c r="AF9" s="7">
        <v>0.6</v>
      </c>
      <c r="AG9" s="43">
        <v>10</v>
      </c>
      <c r="AH9" s="7">
        <v>1.6846094279359867</v>
      </c>
      <c r="AI9" s="7">
        <v>1.6846094279359867</v>
      </c>
      <c r="AJ9" s="7">
        <v>-0.03</v>
      </c>
      <c r="AK9" s="8">
        <v>0.6</v>
      </c>
    </row>
    <row r="10" spans="1:38" s="19" customFormat="1" ht="35.25" customHeight="1" x14ac:dyDescent="0.35">
      <c r="A10" s="56"/>
      <c r="B10" s="10" t="s">
        <v>9</v>
      </c>
      <c r="C10" s="44">
        <v>20</v>
      </c>
      <c r="D10" s="12">
        <v>1.6846094279359867</v>
      </c>
      <c r="E10" s="12">
        <v>1.6846094279359867</v>
      </c>
      <c r="F10" s="12">
        <v>-0.03</v>
      </c>
      <c r="G10" s="13">
        <v>0.8</v>
      </c>
      <c r="H10" s="44">
        <v>10</v>
      </c>
      <c r="I10" s="12">
        <v>1.6846094279359867</v>
      </c>
      <c r="J10" s="12">
        <v>1.6846094279359867</v>
      </c>
      <c r="K10" s="12">
        <v>-0.03</v>
      </c>
      <c r="L10" s="13">
        <v>0.8</v>
      </c>
      <c r="M10" s="44">
        <v>5</v>
      </c>
      <c r="N10" s="12">
        <v>1.6846094279359867</v>
      </c>
      <c r="O10" s="12">
        <v>1.6846094279359867</v>
      </c>
      <c r="P10" s="12">
        <v>-0.03</v>
      </c>
      <c r="Q10" s="13">
        <v>0.8</v>
      </c>
      <c r="R10" s="51">
        <v>8</v>
      </c>
      <c r="S10" s="12">
        <v>1.6846094279359867</v>
      </c>
      <c r="T10" s="12">
        <v>1.6846094279359867</v>
      </c>
      <c r="U10" s="12">
        <v>-0.03</v>
      </c>
      <c r="V10" s="13">
        <v>0.8</v>
      </c>
      <c r="W10" s="44">
        <v>3</v>
      </c>
      <c r="X10" s="12">
        <v>1.6846094279359867</v>
      </c>
      <c r="Y10" s="12">
        <v>1.6846094279359867</v>
      </c>
      <c r="Z10" s="12">
        <v>-0.03</v>
      </c>
      <c r="AA10" s="13">
        <v>0.8</v>
      </c>
      <c r="AB10" s="44">
        <v>10</v>
      </c>
      <c r="AC10" s="12">
        <v>1.6846094279359867</v>
      </c>
      <c r="AD10" s="12">
        <v>1.6846094279359867</v>
      </c>
      <c r="AE10" s="12">
        <v>-0.03</v>
      </c>
      <c r="AF10" s="12">
        <v>0.8</v>
      </c>
      <c r="AG10" s="44">
        <v>10</v>
      </c>
      <c r="AH10" s="12">
        <v>1.6846094279359867</v>
      </c>
      <c r="AI10" s="12">
        <v>1.6846094279359867</v>
      </c>
      <c r="AJ10" s="12">
        <v>-0.03</v>
      </c>
      <c r="AK10" s="13">
        <v>0.8</v>
      </c>
    </row>
    <row r="11" spans="1:38" s="9" customFormat="1" ht="35.25" customHeight="1" x14ac:dyDescent="0.35">
      <c r="A11" s="56"/>
      <c r="B11" s="10" t="s">
        <v>10</v>
      </c>
      <c r="C11" s="44">
        <v>20</v>
      </c>
      <c r="D11" s="12">
        <v>1.6846094279359867</v>
      </c>
      <c r="E11" s="12">
        <v>1.6846094279359867</v>
      </c>
      <c r="F11" s="12">
        <v>0.2</v>
      </c>
      <c r="G11" s="13">
        <v>-0.03</v>
      </c>
      <c r="H11" s="44">
        <v>10</v>
      </c>
      <c r="I11" s="12">
        <v>1.6846094279359867</v>
      </c>
      <c r="J11" s="12">
        <v>1.6846094279359867</v>
      </c>
      <c r="K11" s="12">
        <v>0.2</v>
      </c>
      <c r="L11" s="13">
        <v>-0.03</v>
      </c>
      <c r="M11" s="44">
        <v>5</v>
      </c>
      <c r="N11" s="12">
        <v>1.6846094279359867</v>
      </c>
      <c r="O11" s="12">
        <v>1.6846094279359867</v>
      </c>
      <c r="P11" s="12">
        <v>0.2</v>
      </c>
      <c r="Q11" s="13">
        <v>-0.03</v>
      </c>
      <c r="R11" s="51">
        <v>8</v>
      </c>
      <c r="S11" s="12">
        <v>1.6846094279359867</v>
      </c>
      <c r="T11" s="12">
        <v>1.6846094279359867</v>
      </c>
      <c r="U11" s="12">
        <v>0.2</v>
      </c>
      <c r="V11" s="12">
        <v>-0.03</v>
      </c>
      <c r="W11" s="44">
        <v>3</v>
      </c>
      <c r="X11" s="12">
        <v>1.6846094279359867</v>
      </c>
      <c r="Y11" s="12">
        <v>1.6846094279359867</v>
      </c>
      <c r="Z11" s="12">
        <v>0.2</v>
      </c>
      <c r="AA11" s="12">
        <v>-0.03</v>
      </c>
      <c r="AB11" s="44">
        <v>10</v>
      </c>
      <c r="AC11" s="12">
        <v>1.6846094279359867</v>
      </c>
      <c r="AD11" s="12">
        <v>1.6846094279359867</v>
      </c>
      <c r="AE11" s="12">
        <v>0.2</v>
      </c>
      <c r="AF11" s="12">
        <v>-0.03</v>
      </c>
      <c r="AG11" s="44">
        <v>10</v>
      </c>
      <c r="AH11" s="12">
        <v>1.6846094279359867</v>
      </c>
      <c r="AI11" s="12">
        <v>1.6846094279359867</v>
      </c>
      <c r="AJ11" s="12">
        <v>0.2</v>
      </c>
      <c r="AK11" s="13">
        <v>-0.03</v>
      </c>
    </row>
    <row r="12" spans="1:38" s="9" customFormat="1" ht="35.25" customHeight="1" x14ac:dyDescent="0.35">
      <c r="A12" s="56"/>
      <c r="B12" s="5" t="s">
        <v>11</v>
      </c>
      <c r="C12" s="44">
        <v>20</v>
      </c>
      <c r="D12" s="12">
        <v>1.6846094279359867</v>
      </c>
      <c r="E12" s="12">
        <v>1.6846094279359867</v>
      </c>
      <c r="F12" s="12">
        <v>-0.03</v>
      </c>
      <c r="G12" s="13">
        <v>-0.03</v>
      </c>
      <c r="H12" s="44">
        <v>10</v>
      </c>
      <c r="I12" s="12">
        <v>1.6846094279359867</v>
      </c>
      <c r="J12" s="12">
        <v>1.6846094279359867</v>
      </c>
      <c r="K12" s="12">
        <v>-0.03</v>
      </c>
      <c r="L12" s="13">
        <v>-0.03</v>
      </c>
      <c r="M12" s="44">
        <v>5</v>
      </c>
      <c r="N12" s="12">
        <v>1.6846094279359867</v>
      </c>
      <c r="O12" s="12">
        <v>1.6846094279359867</v>
      </c>
      <c r="P12" s="12">
        <v>-0.03</v>
      </c>
      <c r="Q12" s="13">
        <v>-0.03</v>
      </c>
      <c r="R12" s="51">
        <v>8</v>
      </c>
      <c r="S12" s="12">
        <v>1.6846094279359867</v>
      </c>
      <c r="T12" s="12">
        <v>1.6846094279359867</v>
      </c>
      <c r="U12" s="12">
        <v>-0.03</v>
      </c>
      <c r="V12" s="13">
        <v>-0.03</v>
      </c>
      <c r="W12" s="44">
        <v>3</v>
      </c>
      <c r="X12" s="12">
        <v>1.6846094279359867</v>
      </c>
      <c r="Y12" s="12">
        <v>1.6846094279359867</v>
      </c>
      <c r="Z12" s="12">
        <v>-0.03</v>
      </c>
      <c r="AA12" s="13">
        <v>-0.03</v>
      </c>
      <c r="AB12" s="44">
        <v>10</v>
      </c>
      <c r="AC12" s="12">
        <v>1.6846094279359867</v>
      </c>
      <c r="AD12" s="12">
        <v>1.6846094279359867</v>
      </c>
      <c r="AE12" s="12">
        <v>-0.03</v>
      </c>
      <c r="AF12" s="12">
        <v>-0.03</v>
      </c>
      <c r="AG12" s="44">
        <v>10</v>
      </c>
      <c r="AH12" s="12">
        <v>1.6846094279359867</v>
      </c>
      <c r="AI12" s="12">
        <v>1.6846094279359867</v>
      </c>
      <c r="AJ12" s="12">
        <v>-0.03</v>
      </c>
      <c r="AK12" s="13">
        <v>-0.03</v>
      </c>
    </row>
    <row r="13" spans="1:38" s="9" customFormat="1" ht="35.25" customHeight="1" x14ac:dyDescent="0.35">
      <c r="A13" s="56"/>
      <c r="B13" s="10" t="s">
        <v>12</v>
      </c>
      <c r="C13" s="44">
        <v>20</v>
      </c>
      <c r="D13" s="12">
        <v>1.6846094279359867</v>
      </c>
      <c r="E13" s="12">
        <v>1.6846094279359867</v>
      </c>
      <c r="F13" s="12">
        <v>1.2</v>
      </c>
      <c r="G13" s="13">
        <v>-0.03</v>
      </c>
      <c r="H13" s="44">
        <v>10</v>
      </c>
      <c r="I13" s="12">
        <v>1.6846094279359867</v>
      </c>
      <c r="J13" s="12">
        <v>1.6846094279359867</v>
      </c>
      <c r="K13" s="12">
        <v>1.2</v>
      </c>
      <c r="L13" s="13">
        <v>-0.03</v>
      </c>
      <c r="M13" s="44">
        <v>5</v>
      </c>
      <c r="N13" s="12">
        <v>1.6846094279359867</v>
      </c>
      <c r="O13" s="12">
        <v>1.6846094279359867</v>
      </c>
      <c r="P13" s="12">
        <v>1.2</v>
      </c>
      <c r="Q13" s="13">
        <v>-0.03</v>
      </c>
      <c r="R13" s="51">
        <v>8</v>
      </c>
      <c r="S13" s="12">
        <v>1.6846094279359867</v>
      </c>
      <c r="T13" s="12">
        <v>1.6846094279359867</v>
      </c>
      <c r="U13" s="12">
        <v>1.2</v>
      </c>
      <c r="V13" s="13">
        <v>-0.03</v>
      </c>
      <c r="W13" s="44">
        <v>3</v>
      </c>
      <c r="X13" s="12">
        <v>1.6846094279359867</v>
      </c>
      <c r="Y13" s="12">
        <v>1.6846094279359867</v>
      </c>
      <c r="Z13" s="12">
        <v>1.2</v>
      </c>
      <c r="AA13" s="13">
        <v>-0.03</v>
      </c>
      <c r="AB13" s="44">
        <v>10</v>
      </c>
      <c r="AC13" s="12">
        <v>1.6846094279359867</v>
      </c>
      <c r="AD13" s="12">
        <v>1.6846094279359867</v>
      </c>
      <c r="AE13" s="12">
        <v>1.2</v>
      </c>
      <c r="AF13" s="12">
        <v>-0.03</v>
      </c>
      <c r="AG13" s="44">
        <v>10</v>
      </c>
      <c r="AH13" s="12">
        <v>1.6846094279359867</v>
      </c>
      <c r="AI13" s="12">
        <v>1.6846094279359867</v>
      </c>
      <c r="AJ13" s="12">
        <v>1.2</v>
      </c>
      <c r="AK13" s="13">
        <v>-0.03</v>
      </c>
    </row>
    <row r="14" spans="1:38" s="19" customFormat="1" ht="35.25" customHeight="1" x14ac:dyDescent="0.35">
      <c r="A14" s="56"/>
      <c r="B14" s="10" t="s">
        <v>13</v>
      </c>
      <c r="C14" s="44">
        <v>20</v>
      </c>
      <c r="D14" s="12">
        <v>1.6846094279359867</v>
      </c>
      <c r="E14" s="12">
        <v>1.6846094279359867</v>
      </c>
      <c r="F14" s="12">
        <v>-0.03</v>
      </c>
      <c r="G14" s="13">
        <v>0.8</v>
      </c>
      <c r="H14" s="44">
        <v>10</v>
      </c>
      <c r="I14" s="12">
        <v>1.6846094279359867</v>
      </c>
      <c r="J14" s="12">
        <v>1.6846094279359867</v>
      </c>
      <c r="K14" s="12">
        <v>-0.03</v>
      </c>
      <c r="L14" s="13">
        <v>0.8</v>
      </c>
      <c r="M14" s="44">
        <v>5</v>
      </c>
      <c r="N14" s="12">
        <v>1.6846094279359867</v>
      </c>
      <c r="O14" s="12">
        <v>1.6846094279359867</v>
      </c>
      <c r="P14" s="12">
        <v>-0.03</v>
      </c>
      <c r="Q14" s="13">
        <v>0.8</v>
      </c>
      <c r="R14" s="51">
        <v>8</v>
      </c>
      <c r="S14" s="12">
        <v>1.6846094279359867</v>
      </c>
      <c r="T14" s="12">
        <v>1.6846094279359867</v>
      </c>
      <c r="U14" s="12">
        <v>-0.03</v>
      </c>
      <c r="V14" s="13">
        <v>0.8</v>
      </c>
      <c r="W14" s="44">
        <v>3</v>
      </c>
      <c r="X14" s="12">
        <v>1.6846094279359867</v>
      </c>
      <c r="Y14" s="12">
        <v>1.6846094279359867</v>
      </c>
      <c r="Z14" s="12">
        <v>-0.03</v>
      </c>
      <c r="AA14" s="13">
        <v>0.8</v>
      </c>
      <c r="AB14" s="44">
        <v>10</v>
      </c>
      <c r="AC14" s="12">
        <v>1.6846094279359867</v>
      </c>
      <c r="AD14" s="12">
        <v>1.6846094279359867</v>
      </c>
      <c r="AE14" s="12">
        <v>-0.03</v>
      </c>
      <c r="AF14" s="12">
        <v>0.8</v>
      </c>
      <c r="AG14" s="44">
        <v>10</v>
      </c>
      <c r="AH14" s="12">
        <v>1.6846094279359867</v>
      </c>
      <c r="AI14" s="12">
        <v>1.6846094279359867</v>
      </c>
      <c r="AJ14" s="12">
        <v>-0.03</v>
      </c>
      <c r="AK14" s="13">
        <v>0.8</v>
      </c>
    </row>
    <row r="15" spans="1:38" s="19" customFormat="1" ht="35.25" customHeight="1" x14ac:dyDescent="0.35">
      <c r="A15" s="56"/>
      <c r="B15" s="10" t="s">
        <v>14</v>
      </c>
      <c r="C15" s="44">
        <v>20</v>
      </c>
      <c r="D15" s="12">
        <v>1.6846094279359867</v>
      </c>
      <c r="E15" s="12">
        <v>1.6846094279359867</v>
      </c>
      <c r="F15" s="12">
        <v>0.9</v>
      </c>
      <c r="G15" s="13">
        <v>-0.03</v>
      </c>
      <c r="H15" s="44">
        <v>10</v>
      </c>
      <c r="I15" s="12">
        <v>1.6846094279359867</v>
      </c>
      <c r="J15" s="12">
        <v>1.6846094279359867</v>
      </c>
      <c r="K15" s="12">
        <v>0.9</v>
      </c>
      <c r="L15" s="13">
        <v>-0.03</v>
      </c>
      <c r="M15" s="44">
        <v>5</v>
      </c>
      <c r="N15" s="12">
        <v>1.6846094279359867</v>
      </c>
      <c r="O15" s="12">
        <v>1.6846094279359867</v>
      </c>
      <c r="P15" s="12">
        <v>0.9</v>
      </c>
      <c r="Q15" s="13">
        <v>-0.03</v>
      </c>
      <c r="R15" s="51">
        <v>8</v>
      </c>
      <c r="S15" s="12">
        <v>1.6846094279359867</v>
      </c>
      <c r="T15" s="12">
        <v>1.6846094279359867</v>
      </c>
      <c r="U15" s="12">
        <v>0.9</v>
      </c>
      <c r="V15" s="13">
        <v>-0.03</v>
      </c>
      <c r="W15" s="44">
        <v>3</v>
      </c>
      <c r="X15" s="12">
        <v>1.6846094279359867</v>
      </c>
      <c r="Y15" s="12">
        <v>1.6846094279359867</v>
      </c>
      <c r="Z15" s="12">
        <v>0.9</v>
      </c>
      <c r="AA15" s="13">
        <v>-0.03</v>
      </c>
      <c r="AB15" s="44">
        <v>10</v>
      </c>
      <c r="AC15" s="12">
        <v>1.6846094279359867</v>
      </c>
      <c r="AD15" s="12">
        <v>1.6846094279359867</v>
      </c>
      <c r="AE15" s="12">
        <v>0.9</v>
      </c>
      <c r="AF15" s="12">
        <v>-0.03</v>
      </c>
      <c r="AG15" s="44">
        <v>10</v>
      </c>
      <c r="AH15" s="12">
        <v>1.6846094279359867</v>
      </c>
      <c r="AI15" s="12">
        <v>1.6846094279359867</v>
      </c>
      <c r="AJ15" s="12">
        <v>0.9</v>
      </c>
      <c r="AK15" s="13">
        <v>-0.03</v>
      </c>
    </row>
    <row r="16" spans="1:38" s="9" customFormat="1" ht="35.25" customHeight="1" x14ac:dyDescent="0.35">
      <c r="A16" s="56"/>
      <c r="B16" s="10" t="s">
        <v>15</v>
      </c>
      <c r="C16" s="44">
        <v>20</v>
      </c>
      <c r="D16" s="12">
        <v>1.6846094279359867</v>
      </c>
      <c r="E16" s="12">
        <v>1.6846094279359867</v>
      </c>
      <c r="F16" s="12">
        <v>-0.03</v>
      </c>
      <c r="G16" s="13">
        <v>1.1000000000000001</v>
      </c>
      <c r="H16" s="44">
        <v>10</v>
      </c>
      <c r="I16" s="12">
        <v>1.6846094279359867</v>
      </c>
      <c r="J16" s="12">
        <v>1.6846094279359867</v>
      </c>
      <c r="K16" s="12">
        <v>-0.03</v>
      </c>
      <c r="L16" s="13">
        <v>1.1000000000000001</v>
      </c>
      <c r="M16" s="44">
        <v>5</v>
      </c>
      <c r="N16" s="12">
        <v>1.6846094279359867</v>
      </c>
      <c r="O16" s="12">
        <v>1.6846094279359867</v>
      </c>
      <c r="P16" s="12">
        <v>-0.03</v>
      </c>
      <c r="Q16" s="13">
        <v>1.1000000000000001</v>
      </c>
      <c r="R16" s="51">
        <v>8</v>
      </c>
      <c r="S16" s="12">
        <v>1.6846094279359867</v>
      </c>
      <c r="T16" s="12">
        <v>1.6846094279359867</v>
      </c>
      <c r="U16" s="12">
        <v>-0.03</v>
      </c>
      <c r="V16" s="12">
        <v>1.1000000000000001</v>
      </c>
      <c r="W16" s="44">
        <v>3</v>
      </c>
      <c r="X16" s="12">
        <v>1.6846094279359867</v>
      </c>
      <c r="Y16" s="12">
        <v>1.6846094279359867</v>
      </c>
      <c r="Z16" s="12">
        <v>-0.03</v>
      </c>
      <c r="AA16" s="12">
        <v>1.1000000000000001</v>
      </c>
      <c r="AB16" s="44">
        <v>10</v>
      </c>
      <c r="AC16" s="12">
        <v>1.6846094279359867</v>
      </c>
      <c r="AD16" s="12">
        <v>1.6846094279359867</v>
      </c>
      <c r="AE16" s="12">
        <v>-0.03</v>
      </c>
      <c r="AF16" s="12">
        <v>1.1000000000000001</v>
      </c>
      <c r="AG16" s="44">
        <v>10</v>
      </c>
      <c r="AH16" s="12">
        <v>1.6846094279359867</v>
      </c>
      <c r="AI16" s="12">
        <v>1.6846094279359867</v>
      </c>
      <c r="AJ16" s="12">
        <v>-0.03</v>
      </c>
      <c r="AK16" s="13">
        <v>1.1000000000000001</v>
      </c>
    </row>
    <row r="17" spans="1:37" s="9" customFormat="1" ht="35.25" customHeight="1" thickBot="1" x14ac:dyDescent="0.4">
      <c r="A17" s="57"/>
      <c r="B17" s="14" t="s">
        <v>16</v>
      </c>
      <c r="C17" s="45">
        <v>20</v>
      </c>
      <c r="D17" s="17">
        <v>1.6846094279359867</v>
      </c>
      <c r="E17" s="17">
        <v>1.6846094279359867</v>
      </c>
      <c r="F17" s="12">
        <v>1.5</v>
      </c>
      <c r="G17" s="18">
        <v>-0.03</v>
      </c>
      <c r="H17" s="45">
        <v>10</v>
      </c>
      <c r="I17" s="17">
        <v>1.6846094279359867</v>
      </c>
      <c r="J17" s="17">
        <v>1.6846094279359867</v>
      </c>
      <c r="K17" s="12">
        <v>1.5</v>
      </c>
      <c r="L17" s="18">
        <v>-0.03</v>
      </c>
      <c r="M17" s="45">
        <v>5</v>
      </c>
      <c r="N17" s="17">
        <v>1.6846094279359867</v>
      </c>
      <c r="O17" s="17">
        <v>1.6846094279359867</v>
      </c>
      <c r="P17" s="12">
        <v>1.5</v>
      </c>
      <c r="Q17" s="18">
        <v>-0.03</v>
      </c>
      <c r="R17" s="51">
        <v>8</v>
      </c>
      <c r="S17" s="17">
        <v>1.6846094279359867</v>
      </c>
      <c r="T17" s="17">
        <v>1.6846094279359867</v>
      </c>
      <c r="U17" s="12">
        <v>1.5</v>
      </c>
      <c r="V17" s="18">
        <v>-0.03</v>
      </c>
      <c r="W17" s="45">
        <v>3</v>
      </c>
      <c r="X17" s="17">
        <v>1.6846094279359867</v>
      </c>
      <c r="Y17" s="17">
        <v>1.6846094279359867</v>
      </c>
      <c r="Z17" s="12">
        <v>1.5</v>
      </c>
      <c r="AA17" s="18">
        <v>-0.03</v>
      </c>
      <c r="AB17" s="45">
        <v>10</v>
      </c>
      <c r="AC17" s="17">
        <v>1.6846094279359867</v>
      </c>
      <c r="AD17" s="17">
        <v>1.6846094279359867</v>
      </c>
      <c r="AE17" s="12">
        <v>1.5</v>
      </c>
      <c r="AF17" s="17">
        <v>-0.03</v>
      </c>
      <c r="AG17" s="45">
        <v>10</v>
      </c>
      <c r="AH17" s="17">
        <v>1.6846094279359867</v>
      </c>
      <c r="AI17" s="17">
        <v>1.6846094279359867</v>
      </c>
      <c r="AJ17" s="12">
        <v>1.5</v>
      </c>
      <c r="AK17" s="18">
        <v>-0.03</v>
      </c>
    </row>
    <row r="18" spans="1:37" s="9" customFormat="1" ht="35.25" customHeight="1" thickBot="1" x14ac:dyDescent="0.4">
      <c r="A18" s="22" t="s">
        <v>17</v>
      </c>
      <c r="B18" s="23" t="s">
        <v>18</v>
      </c>
      <c r="C18" s="46">
        <v>20</v>
      </c>
      <c r="D18" s="25">
        <v>1.6846094279359867</v>
      </c>
      <c r="E18" s="25">
        <v>1.6846094279359867</v>
      </c>
      <c r="F18" s="7">
        <v>-0.03</v>
      </c>
      <c r="G18" s="8">
        <v>-0.03</v>
      </c>
      <c r="H18" s="46">
        <v>10</v>
      </c>
      <c r="I18" s="25">
        <v>1.6846094279359867</v>
      </c>
      <c r="J18" s="25">
        <v>1.6846094279359867</v>
      </c>
      <c r="K18" s="7">
        <v>-0.03</v>
      </c>
      <c r="L18" s="8">
        <v>-0.03</v>
      </c>
      <c r="M18" s="46">
        <v>5</v>
      </c>
      <c r="N18" s="25">
        <v>1.6846094279359867</v>
      </c>
      <c r="O18" s="25">
        <v>1.6846094279359867</v>
      </c>
      <c r="P18" s="7">
        <v>-0.03</v>
      </c>
      <c r="Q18" s="8">
        <v>-0.03</v>
      </c>
      <c r="R18" s="50">
        <v>8</v>
      </c>
      <c r="S18" s="25">
        <v>1.6846094279359867</v>
      </c>
      <c r="T18" s="25">
        <v>1.6846094279359867</v>
      </c>
      <c r="U18" s="7">
        <v>-0.03</v>
      </c>
      <c r="V18" s="7">
        <v>-0.03</v>
      </c>
      <c r="W18" s="46">
        <v>3</v>
      </c>
      <c r="X18" s="25">
        <v>1.6846094279359867</v>
      </c>
      <c r="Y18" s="25">
        <v>1.6846094279359867</v>
      </c>
      <c r="Z18" s="7">
        <v>-0.03</v>
      </c>
      <c r="AA18" s="7">
        <v>-0.03</v>
      </c>
      <c r="AB18" s="46">
        <v>10</v>
      </c>
      <c r="AC18" s="25">
        <v>1.6846094279359867</v>
      </c>
      <c r="AD18" s="25">
        <v>1.6846094279359867</v>
      </c>
      <c r="AE18" s="7">
        <v>-0.03</v>
      </c>
      <c r="AF18" s="7">
        <v>-0.03</v>
      </c>
      <c r="AG18" s="46">
        <v>10</v>
      </c>
      <c r="AH18" s="25">
        <v>1.6846094279359867</v>
      </c>
      <c r="AI18" s="25">
        <v>1.6846094279359867</v>
      </c>
      <c r="AJ18" s="7">
        <v>-0.03</v>
      </c>
      <c r="AK18" s="8">
        <v>-0.03</v>
      </c>
    </row>
    <row r="19" spans="1:37" s="9" customFormat="1" ht="35.25" customHeight="1" thickBot="1" x14ac:dyDescent="0.4">
      <c r="A19" s="26" t="s">
        <v>19</v>
      </c>
      <c r="B19" s="23" t="s">
        <v>20</v>
      </c>
      <c r="C19" s="46">
        <v>20</v>
      </c>
      <c r="D19" s="25">
        <v>1.6846094279359867</v>
      </c>
      <c r="E19" s="25">
        <v>1.6846094279359867</v>
      </c>
      <c r="F19" s="7">
        <v>-0.03</v>
      </c>
      <c r="G19" s="8">
        <v>-0.03</v>
      </c>
      <c r="H19" s="46">
        <v>10</v>
      </c>
      <c r="I19" s="25">
        <v>1.6846094279359867</v>
      </c>
      <c r="J19" s="25">
        <v>1.6846094279359867</v>
      </c>
      <c r="K19" s="7">
        <v>-0.03</v>
      </c>
      <c r="L19" s="8">
        <v>-0.03</v>
      </c>
      <c r="M19" s="46">
        <v>5</v>
      </c>
      <c r="N19" s="25">
        <v>1.6846094279359867</v>
      </c>
      <c r="O19" s="25">
        <v>1.6846094279359867</v>
      </c>
      <c r="P19" s="7">
        <v>-0.03</v>
      </c>
      <c r="Q19" s="8">
        <v>-0.03</v>
      </c>
      <c r="R19" s="50">
        <v>8</v>
      </c>
      <c r="S19" s="25">
        <v>1.6846094279359867</v>
      </c>
      <c r="T19" s="25">
        <v>1.6846094279359867</v>
      </c>
      <c r="U19" s="7">
        <v>-0.03</v>
      </c>
      <c r="V19" s="7">
        <v>-0.03</v>
      </c>
      <c r="W19" s="46">
        <v>3</v>
      </c>
      <c r="X19" s="25">
        <v>1.6846094279359867</v>
      </c>
      <c r="Y19" s="25">
        <v>1.6846094279359867</v>
      </c>
      <c r="Z19" s="7">
        <v>-0.03</v>
      </c>
      <c r="AA19" s="7">
        <v>-0.03</v>
      </c>
      <c r="AB19" s="46">
        <v>10</v>
      </c>
      <c r="AC19" s="25">
        <v>1.6846094279359867</v>
      </c>
      <c r="AD19" s="25">
        <v>1.6846094279359867</v>
      </c>
      <c r="AE19" s="7">
        <v>-0.03</v>
      </c>
      <c r="AF19" s="7">
        <v>-0.03</v>
      </c>
      <c r="AG19" s="46">
        <v>10</v>
      </c>
      <c r="AH19" s="25">
        <v>1.6846094279359867</v>
      </c>
      <c r="AI19" s="25">
        <v>1.6846094279359867</v>
      </c>
      <c r="AJ19" s="7">
        <v>-0.03</v>
      </c>
      <c r="AK19" s="8">
        <v>-0.03</v>
      </c>
    </row>
    <row r="20" spans="1:37" s="19" customFormat="1" ht="35.25" customHeight="1" x14ac:dyDescent="0.35">
      <c r="A20" s="55" t="s">
        <v>21</v>
      </c>
      <c r="B20" s="10" t="s">
        <v>22</v>
      </c>
      <c r="C20" s="43">
        <v>20</v>
      </c>
      <c r="D20" s="7">
        <v>1.6846094279359867</v>
      </c>
      <c r="E20" s="7">
        <v>1.6846094279359867</v>
      </c>
      <c r="F20" s="7">
        <v>0.78</v>
      </c>
      <c r="G20" s="8">
        <v>-0.03</v>
      </c>
      <c r="H20" s="43">
        <v>10</v>
      </c>
      <c r="I20" s="7">
        <v>1.6846094279359867</v>
      </c>
      <c r="J20" s="7">
        <v>1.6846094279359867</v>
      </c>
      <c r="K20" s="7">
        <v>0.78</v>
      </c>
      <c r="L20" s="8">
        <v>-0.03</v>
      </c>
      <c r="M20" s="43">
        <v>5</v>
      </c>
      <c r="N20" s="7">
        <v>1.6846094279359867</v>
      </c>
      <c r="O20" s="7">
        <v>1.6846094279359867</v>
      </c>
      <c r="P20" s="7">
        <v>0.78</v>
      </c>
      <c r="Q20" s="8">
        <v>-0.03</v>
      </c>
      <c r="R20" s="50">
        <v>8</v>
      </c>
      <c r="S20" s="7">
        <v>1.6846094279359867</v>
      </c>
      <c r="T20" s="7">
        <v>1.6846094279359867</v>
      </c>
      <c r="U20" s="7">
        <v>0.78</v>
      </c>
      <c r="V20" s="8">
        <v>-0.03</v>
      </c>
      <c r="W20" s="43">
        <v>3</v>
      </c>
      <c r="X20" s="7">
        <v>1.6846094279359867</v>
      </c>
      <c r="Y20" s="7">
        <v>1.6846094279359867</v>
      </c>
      <c r="Z20" s="7">
        <v>0.78</v>
      </c>
      <c r="AA20" s="8">
        <v>-0.03</v>
      </c>
      <c r="AB20" s="43">
        <v>10</v>
      </c>
      <c r="AC20" s="7">
        <v>1.6846094279359867</v>
      </c>
      <c r="AD20" s="7">
        <v>1.6846094279359867</v>
      </c>
      <c r="AE20" s="7">
        <v>0.78</v>
      </c>
      <c r="AF20" s="7">
        <v>-0.03</v>
      </c>
      <c r="AG20" s="43">
        <v>10</v>
      </c>
      <c r="AH20" s="7">
        <v>1.6846094279359867</v>
      </c>
      <c r="AI20" s="7">
        <v>1.6846094279359867</v>
      </c>
      <c r="AJ20" s="7">
        <v>0.78</v>
      </c>
      <c r="AK20" s="8">
        <v>-0.03</v>
      </c>
    </row>
    <row r="21" spans="1:37" s="9" customFormat="1" ht="35.25" customHeight="1" x14ac:dyDescent="0.35">
      <c r="A21" s="56"/>
      <c r="B21" s="10" t="s">
        <v>23</v>
      </c>
      <c r="C21" s="44">
        <v>20</v>
      </c>
      <c r="D21" s="12">
        <v>1.6846094279359867</v>
      </c>
      <c r="E21" s="12">
        <v>1.6846094279359867</v>
      </c>
      <c r="F21" s="12">
        <v>-0.03</v>
      </c>
      <c r="G21" s="13">
        <v>0.6</v>
      </c>
      <c r="H21" s="44">
        <v>10</v>
      </c>
      <c r="I21" s="12">
        <v>1.6846094279359867</v>
      </c>
      <c r="J21" s="12">
        <v>1.6846094279359867</v>
      </c>
      <c r="K21" s="12">
        <v>-0.03</v>
      </c>
      <c r="L21" s="13">
        <v>0.6</v>
      </c>
      <c r="M21" s="44">
        <v>5</v>
      </c>
      <c r="N21" s="12">
        <v>1.6846094279359867</v>
      </c>
      <c r="O21" s="12">
        <v>1.6846094279359867</v>
      </c>
      <c r="P21" s="12">
        <v>-0.03</v>
      </c>
      <c r="Q21" s="13">
        <v>0.6</v>
      </c>
      <c r="R21" s="51">
        <v>8</v>
      </c>
      <c r="S21" s="12">
        <v>1.6846094279359867</v>
      </c>
      <c r="T21" s="12">
        <v>1.6846094279359867</v>
      </c>
      <c r="U21" s="12">
        <v>-0.03</v>
      </c>
      <c r="V21" s="12">
        <v>0.6</v>
      </c>
      <c r="W21" s="44">
        <v>3</v>
      </c>
      <c r="X21" s="12">
        <v>1.6846094279359867</v>
      </c>
      <c r="Y21" s="12">
        <v>1.6846094279359867</v>
      </c>
      <c r="Z21" s="12">
        <v>-0.03</v>
      </c>
      <c r="AA21" s="12">
        <v>0.6</v>
      </c>
      <c r="AB21" s="44">
        <v>10</v>
      </c>
      <c r="AC21" s="12">
        <v>1.6846094279359867</v>
      </c>
      <c r="AD21" s="12">
        <v>1.6846094279359867</v>
      </c>
      <c r="AE21" s="12">
        <v>-0.03</v>
      </c>
      <c r="AF21" s="12">
        <v>0.6</v>
      </c>
      <c r="AG21" s="44">
        <v>10</v>
      </c>
      <c r="AH21" s="12">
        <v>1.6846094279359867</v>
      </c>
      <c r="AI21" s="12">
        <v>1.6846094279359867</v>
      </c>
      <c r="AJ21" s="12">
        <v>-0.03</v>
      </c>
      <c r="AK21" s="13">
        <v>0.6</v>
      </c>
    </row>
    <row r="22" spans="1:37" s="9" customFormat="1" ht="35.25" customHeight="1" x14ac:dyDescent="0.35">
      <c r="A22" s="56"/>
      <c r="B22" s="10" t="s">
        <v>24</v>
      </c>
      <c r="C22" s="44">
        <v>20</v>
      </c>
      <c r="D22" s="12">
        <v>1.6846094279359867</v>
      </c>
      <c r="E22" s="12">
        <v>1.6846094279359867</v>
      </c>
      <c r="F22" s="12">
        <v>0.55000000000000004</v>
      </c>
      <c r="G22" s="13">
        <v>0.48</v>
      </c>
      <c r="H22" s="44">
        <v>10</v>
      </c>
      <c r="I22" s="12">
        <v>1.6846094279359867</v>
      </c>
      <c r="J22" s="12">
        <v>1.6846094279359867</v>
      </c>
      <c r="K22" s="12">
        <v>0.55000000000000004</v>
      </c>
      <c r="L22" s="13">
        <v>0.48</v>
      </c>
      <c r="M22" s="44">
        <v>5</v>
      </c>
      <c r="N22" s="12">
        <v>1.6846094279359867</v>
      </c>
      <c r="O22" s="12">
        <v>1.6846094279359867</v>
      </c>
      <c r="P22" s="12">
        <v>0.55000000000000004</v>
      </c>
      <c r="Q22" s="13">
        <v>0.48</v>
      </c>
      <c r="R22" s="51">
        <v>8</v>
      </c>
      <c r="S22" s="12">
        <v>1.6846094279359867</v>
      </c>
      <c r="T22" s="12">
        <v>1.6846094279359867</v>
      </c>
      <c r="U22" s="12">
        <v>0.55000000000000004</v>
      </c>
      <c r="V22" s="13">
        <v>0.48</v>
      </c>
      <c r="W22" s="44">
        <v>3</v>
      </c>
      <c r="X22" s="12">
        <v>1.6846094279359867</v>
      </c>
      <c r="Y22" s="12">
        <v>1.6846094279359867</v>
      </c>
      <c r="Z22" s="12">
        <v>0.55000000000000004</v>
      </c>
      <c r="AA22" s="13">
        <v>0.48</v>
      </c>
      <c r="AB22" s="44">
        <v>10</v>
      </c>
      <c r="AC22" s="12">
        <v>1.6846094279359867</v>
      </c>
      <c r="AD22" s="12">
        <v>1.6846094279359867</v>
      </c>
      <c r="AE22" s="12">
        <v>0.55000000000000004</v>
      </c>
      <c r="AF22" s="12">
        <v>0.48</v>
      </c>
      <c r="AG22" s="44">
        <v>10</v>
      </c>
      <c r="AH22" s="12">
        <v>1.6846094279359867</v>
      </c>
      <c r="AI22" s="12">
        <v>1.6846094279359867</v>
      </c>
      <c r="AJ22" s="12">
        <v>0.55000000000000004</v>
      </c>
      <c r="AK22" s="13">
        <v>0.48</v>
      </c>
    </row>
    <row r="23" spans="1:37" s="19" customFormat="1" ht="35.25" customHeight="1" x14ac:dyDescent="0.35">
      <c r="A23" s="56"/>
      <c r="B23" s="10" t="s">
        <v>25</v>
      </c>
      <c r="C23" s="44">
        <v>20</v>
      </c>
      <c r="D23" s="12">
        <v>1.6846094279359867</v>
      </c>
      <c r="E23" s="12">
        <v>1.6846094279359867</v>
      </c>
      <c r="F23" s="12">
        <v>0.45</v>
      </c>
      <c r="G23" s="13">
        <v>-0.03</v>
      </c>
      <c r="H23" s="44">
        <v>10</v>
      </c>
      <c r="I23" s="12">
        <v>1.6846094279359867</v>
      </c>
      <c r="J23" s="12">
        <v>1.6846094279359867</v>
      </c>
      <c r="K23" s="12">
        <v>0.45</v>
      </c>
      <c r="L23" s="13">
        <v>-0.03</v>
      </c>
      <c r="M23" s="44">
        <v>5</v>
      </c>
      <c r="N23" s="12">
        <v>1.6846094279359867</v>
      </c>
      <c r="O23" s="12">
        <v>1.6846094279359867</v>
      </c>
      <c r="P23" s="12">
        <v>0.45</v>
      </c>
      <c r="Q23" s="13">
        <v>-0.03</v>
      </c>
      <c r="R23" s="51">
        <v>8</v>
      </c>
      <c r="S23" s="12">
        <v>1.6846094279359867</v>
      </c>
      <c r="T23" s="12">
        <v>1.6846094279359867</v>
      </c>
      <c r="U23" s="12">
        <v>0.45</v>
      </c>
      <c r="V23" s="13">
        <v>-0.03</v>
      </c>
      <c r="W23" s="44">
        <v>3</v>
      </c>
      <c r="X23" s="12">
        <v>1.6846094279359867</v>
      </c>
      <c r="Y23" s="12">
        <v>1.6846094279359867</v>
      </c>
      <c r="Z23" s="12">
        <v>0.45</v>
      </c>
      <c r="AA23" s="13">
        <v>-0.03</v>
      </c>
      <c r="AB23" s="44">
        <v>10</v>
      </c>
      <c r="AC23" s="12">
        <v>1.6846094279359867</v>
      </c>
      <c r="AD23" s="12">
        <v>1.6846094279359867</v>
      </c>
      <c r="AE23" s="12">
        <v>0.45</v>
      </c>
      <c r="AF23" s="12">
        <v>-0.03</v>
      </c>
      <c r="AG23" s="44">
        <v>10</v>
      </c>
      <c r="AH23" s="12">
        <v>1.6846094279359867</v>
      </c>
      <c r="AI23" s="12">
        <v>1.6846094279359867</v>
      </c>
      <c r="AJ23" s="12">
        <v>0.45</v>
      </c>
      <c r="AK23" s="13">
        <v>-0.03</v>
      </c>
    </row>
    <row r="24" spans="1:37" s="19" customFormat="1" ht="35.25" customHeight="1" thickBot="1" x14ac:dyDescent="0.4">
      <c r="A24" s="56"/>
      <c r="B24" s="10" t="s">
        <v>26</v>
      </c>
      <c r="C24" s="45">
        <v>20</v>
      </c>
      <c r="D24" s="17">
        <v>1.6846094279359867</v>
      </c>
      <c r="E24" s="17">
        <v>1.6846094279359867</v>
      </c>
      <c r="F24" s="17">
        <v>-0.03</v>
      </c>
      <c r="G24" s="13">
        <v>-0.03</v>
      </c>
      <c r="H24" s="45">
        <v>10</v>
      </c>
      <c r="I24" s="17">
        <v>1.6846094279359867</v>
      </c>
      <c r="J24" s="17">
        <v>1.6846094279359867</v>
      </c>
      <c r="K24" s="17">
        <v>-0.03</v>
      </c>
      <c r="L24" s="13">
        <v>-0.03</v>
      </c>
      <c r="M24" s="45">
        <v>5</v>
      </c>
      <c r="N24" s="17">
        <v>1.6846094279359867</v>
      </c>
      <c r="O24" s="17">
        <v>1.6846094279359867</v>
      </c>
      <c r="P24" s="17">
        <v>-0.03</v>
      </c>
      <c r="Q24" s="13">
        <v>-0.03</v>
      </c>
      <c r="R24" s="52">
        <v>8</v>
      </c>
      <c r="S24" s="17">
        <v>1.6846094279359867</v>
      </c>
      <c r="T24" s="17">
        <v>1.6846094279359867</v>
      </c>
      <c r="U24" s="17">
        <v>-0.03</v>
      </c>
      <c r="V24" s="12">
        <v>-0.03</v>
      </c>
      <c r="W24" s="45">
        <v>3</v>
      </c>
      <c r="X24" s="17">
        <v>1.6846094279359867</v>
      </c>
      <c r="Y24" s="17">
        <v>1.6846094279359867</v>
      </c>
      <c r="Z24" s="17">
        <v>-0.03</v>
      </c>
      <c r="AA24" s="12">
        <v>-0.03</v>
      </c>
      <c r="AB24" s="45">
        <v>10</v>
      </c>
      <c r="AC24" s="17">
        <v>1.6846094279359867</v>
      </c>
      <c r="AD24" s="17">
        <v>1.6846094279359867</v>
      </c>
      <c r="AE24" s="17">
        <v>-0.03</v>
      </c>
      <c r="AF24" s="12">
        <v>-0.03</v>
      </c>
      <c r="AG24" s="45">
        <v>10</v>
      </c>
      <c r="AH24" s="17">
        <v>1.6846094279359867</v>
      </c>
      <c r="AI24" s="17">
        <v>1.6846094279359867</v>
      </c>
      <c r="AJ24" s="17">
        <v>-0.03</v>
      </c>
      <c r="AK24" s="13">
        <v>-0.03</v>
      </c>
    </row>
    <row r="25" spans="1:37" s="9" customFormat="1" ht="35.25" customHeight="1" x14ac:dyDescent="0.35">
      <c r="A25" s="55" t="s">
        <v>27</v>
      </c>
      <c r="B25" s="28" t="s">
        <v>28</v>
      </c>
      <c r="C25" s="44">
        <v>20</v>
      </c>
      <c r="D25" s="12">
        <v>1.6846094279359867</v>
      </c>
      <c r="E25" s="12">
        <v>1.6846094279359867</v>
      </c>
      <c r="F25" s="7">
        <v>-0.03</v>
      </c>
      <c r="G25" s="8">
        <v>0.7</v>
      </c>
      <c r="H25" s="44">
        <v>10</v>
      </c>
      <c r="I25" s="12">
        <v>1.6846094279359867</v>
      </c>
      <c r="J25" s="12">
        <v>1.6846094279359867</v>
      </c>
      <c r="K25" s="7">
        <v>-0.03</v>
      </c>
      <c r="L25" s="8">
        <v>0.7</v>
      </c>
      <c r="M25" s="44">
        <v>5</v>
      </c>
      <c r="N25" s="12">
        <v>1.6846094279359867</v>
      </c>
      <c r="O25" s="12">
        <v>1.6846094279359867</v>
      </c>
      <c r="P25" s="7">
        <v>-0.03</v>
      </c>
      <c r="Q25" s="8">
        <v>0.7</v>
      </c>
      <c r="R25" s="50">
        <v>8</v>
      </c>
      <c r="S25" s="12">
        <v>1.6846094279359867</v>
      </c>
      <c r="T25" s="12">
        <v>1.6846094279359867</v>
      </c>
      <c r="U25" s="7">
        <v>-0.03</v>
      </c>
      <c r="V25" s="8">
        <v>0.7</v>
      </c>
      <c r="W25" s="44">
        <v>3</v>
      </c>
      <c r="X25" s="12">
        <v>1.6846094279359867</v>
      </c>
      <c r="Y25" s="12">
        <v>1.6846094279359867</v>
      </c>
      <c r="Z25" s="7">
        <v>-0.03</v>
      </c>
      <c r="AA25" s="8">
        <v>0.7</v>
      </c>
      <c r="AB25" s="44">
        <v>10</v>
      </c>
      <c r="AC25" s="12">
        <v>1.6846094279359867</v>
      </c>
      <c r="AD25" s="12">
        <v>1.6846094279359867</v>
      </c>
      <c r="AE25" s="7">
        <v>-0.03</v>
      </c>
      <c r="AF25" s="7">
        <v>0.7</v>
      </c>
      <c r="AG25" s="44">
        <v>10</v>
      </c>
      <c r="AH25" s="12">
        <v>1.6846094279359867</v>
      </c>
      <c r="AI25" s="12">
        <v>1.6846094279359867</v>
      </c>
      <c r="AJ25" s="7">
        <v>-0.03</v>
      </c>
      <c r="AK25" s="8">
        <v>0.7</v>
      </c>
    </row>
    <row r="26" spans="1:37" s="9" customFormat="1" ht="35.25" customHeight="1" x14ac:dyDescent="0.35">
      <c r="A26" s="56"/>
      <c r="B26" s="10" t="s">
        <v>29</v>
      </c>
      <c r="C26" s="44">
        <v>20</v>
      </c>
      <c r="D26" s="12">
        <v>1.6846094279359867</v>
      </c>
      <c r="E26" s="12">
        <v>1.6846094279359867</v>
      </c>
      <c r="F26" s="12">
        <v>-0.03</v>
      </c>
      <c r="G26" s="13">
        <v>0.99</v>
      </c>
      <c r="H26" s="44">
        <v>10</v>
      </c>
      <c r="I26" s="12">
        <v>1.6846094279359867</v>
      </c>
      <c r="J26" s="12">
        <v>1.6846094279359867</v>
      </c>
      <c r="K26" s="12">
        <v>-0.03</v>
      </c>
      <c r="L26" s="13">
        <v>0.99</v>
      </c>
      <c r="M26" s="44">
        <v>5</v>
      </c>
      <c r="N26" s="12">
        <v>1.6846094279359867</v>
      </c>
      <c r="O26" s="12">
        <v>1.6846094279359867</v>
      </c>
      <c r="P26" s="12">
        <v>-0.03</v>
      </c>
      <c r="Q26" s="13">
        <v>0.99</v>
      </c>
      <c r="R26" s="51">
        <v>8</v>
      </c>
      <c r="S26" s="12">
        <v>1.6846094279359867</v>
      </c>
      <c r="T26" s="12">
        <v>1.6846094279359867</v>
      </c>
      <c r="U26" s="12">
        <v>-0.03</v>
      </c>
      <c r="V26" s="12">
        <v>0.99</v>
      </c>
      <c r="W26" s="44">
        <v>3</v>
      </c>
      <c r="X26" s="12">
        <v>1.6846094279359867</v>
      </c>
      <c r="Y26" s="12">
        <v>1.6846094279359867</v>
      </c>
      <c r="Z26" s="12">
        <v>-0.03</v>
      </c>
      <c r="AA26" s="13">
        <v>0.99</v>
      </c>
      <c r="AB26" s="44">
        <v>10</v>
      </c>
      <c r="AC26" s="12">
        <v>1.6846094279359867</v>
      </c>
      <c r="AD26" s="12">
        <v>1.6846094279359867</v>
      </c>
      <c r="AE26" s="12">
        <v>-0.03</v>
      </c>
      <c r="AF26" s="12">
        <v>0.99</v>
      </c>
      <c r="AG26" s="44">
        <v>10</v>
      </c>
      <c r="AH26" s="12">
        <v>1.6846094279359867</v>
      </c>
      <c r="AI26" s="12">
        <v>1.6846094279359867</v>
      </c>
      <c r="AJ26" s="12">
        <v>-0.03</v>
      </c>
      <c r="AK26" s="13">
        <v>0.99</v>
      </c>
    </row>
    <row r="27" spans="1:37" s="19" customFormat="1" ht="35.25" customHeight="1" thickBot="1" x14ac:dyDescent="0.4">
      <c r="A27" s="57"/>
      <c r="B27" s="14" t="s">
        <v>30</v>
      </c>
      <c r="C27" s="45">
        <v>20</v>
      </c>
      <c r="D27" s="17">
        <v>1.6846094279359867</v>
      </c>
      <c r="E27" s="17">
        <v>1.6846094279359867</v>
      </c>
      <c r="F27" s="17">
        <v>0.56000000000000005</v>
      </c>
      <c r="G27" s="18">
        <v>0.56000000000000005</v>
      </c>
      <c r="H27" s="45">
        <v>10</v>
      </c>
      <c r="I27" s="17">
        <v>1.6846094279359867</v>
      </c>
      <c r="J27" s="17">
        <v>1.6846094279359867</v>
      </c>
      <c r="K27" s="17">
        <v>0.56000000000000005</v>
      </c>
      <c r="L27" s="18">
        <v>0.56000000000000005</v>
      </c>
      <c r="M27" s="45">
        <v>5</v>
      </c>
      <c r="N27" s="17">
        <v>1.6846094279359867</v>
      </c>
      <c r="O27" s="17">
        <v>1.6846094279359867</v>
      </c>
      <c r="P27" s="17">
        <v>0.56000000000000005</v>
      </c>
      <c r="Q27" s="18">
        <v>0.56000000000000005</v>
      </c>
      <c r="R27" s="52">
        <v>8</v>
      </c>
      <c r="S27" s="17">
        <v>1.6846094279359867</v>
      </c>
      <c r="T27" s="17">
        <v>1.6846094279359867</v>
      </c>
      <c r="U27" s="17">
        <v>0.56000000000000005</v>
      </c>
      <c r="V27" s="18">
        <v>0.56000000000000005</v>
      </c>
      <c r="W27" s="45">
        <v>3</v>
      </c>
      <c r="X27" s="17">
        <v>1.6846094279359867</v>
      </c>
      <c r="Y27" s="17">
        <v>1.6846094279359867</v>
      </c>
      <c r="Z27" s="17">
        <v>0.56000000000000005</v>
      </c>
      <c r="AA27" s="18">
        <v>0.56000000000000005</v>
      </c>
      <c r="AB27" s="45">
        <v>10</v>
      </c>
      <c r="AC27" s="17">
        <v>1.6846094279359867</v>
      </c>
      <c r="AD27" s="17">
        <v>1.6846094279359867</v>
      </c>
      <c r="AE27" s="17">
        <v>0.56000000000000005</v>
      </c>
      <c r="AF27" s="17">
        <v>0.56000000000000005</v>
      </c>
      <c r="AG27" s="45">
        <v>10</v>
      </c>
      <c r="AH27" s="17">
        <v>1.6846094279359867</v>
      </c>
      <c r="AI27" s="17">
        <v>1.6846094279359867</v>
      </c>
      <c r="AJ27" s="17">
        <v>0.56000000000000005</v>
      </c>
      <c r="AK27" s="18">
        <v>0.56000000000000005</v>
      </c>
    </row>
    <row r="28" spans="1:37" ht="37.5" customHeight="1" thickBot="1" x14ac:dyDescent="0.4">
      <c r="A28" s="53" t="s">
        <v>33</v>
      </c>
      <c r="B28" s="54"/>
      <c r="C28" s="45">
        <f>AVERAGE(C21:C25)</f>
        <v>20</v>
      </c>
      <c r="D28" s="21">
        <f>AVERAGE(D21:D25)</f>
        <v>1.6846094279359867</v>
      </c>
      <c r="E28" s="21">
        <f>AVERAGE(E21:E25)</f>
        <v>1.6846094279359867</v>
      </c>
      <c r="F28" s="21">
        <f>AVERAGE(F21:F25)</f>
        <v>0.182</v>
      </c>
      <c r="G28" s="18">
        <v>2</v>
      </c>
      <c r="H28" s="45">
        <f>AVERAGE(H21:H25)</f>
        <v>10</v>
      </c>
      <c r="I28" s="21">
        <f>AVERAGE(I21:I25)</f>
        <v>1.6846094279359867</v>
      </c>
      <c r="J28" s="21">
        <f>AVERAGE(J21:J25)</f>
        <v>1.6846094279359867</v>
      </c>
      <c r="K28" s="21">
        <f>AVERAGE(K21:K25)</f>
        <v>0.182</v>
      </c>
      <c r="L28" s="18">
        <v>2</v>
      </c>
      <c r="M28" s="45">
        <f>AVERAGE(M21:M25)</f>
        <v>5</v>
      </c>
      <c r="N28" s="21">
        <f>AVERAGE(N21:N25)</f>
        <v>1.6846094279359867</v>
      </c>
      <c r="O28" s="21">
        <f>AVERAGE(O21:O25)</f>
        <v>1.6846094279359867</v>
      </c>
      <c r="P28" s="21">
        <f>AVERAGE(P21:P25)</f>
        <v>0.182</v>
      </c>
      <c r="Q28" s="18">
        <v>2</v>
      </c>
      <c r="R28" s="52">
        <f>AVERAGE(R21:R25)</f>
        <v>8</v>
      </c>
      <c r="S28" s="21">
        <f>AVERAGE(S21:S25)</f>
        <v>1.6846094279359867</v>
      </c>
      <c r="T28" s="21">
        <f>AVERAGE(T21:T25)</f>
        <v>1.6846094279359867</v>
      </c>
      <c r="U28" s="21">
        <f>AVERAGE(U21:U25)</f>
        <v>0.182</v>
      </c>
      <c r="V28" s="27">
        <v>2</v>
      </c>
      <c r="W28" s="45">
        <f>AVERAGE(W21:W25)</f>
        <v>3</v>
      </c>
      <c r="X28" s="21">
        <f>AVERAGE(X21:X25)</f>
        <v>1.6846094279359867</v>
      </c>
      <c r="Y28" s="21">
        <f>AVERAGE(Y21:Y25)</f>
        <v>1.6846094279359867</v>
      </c>
      <c r="Z28" s="21">
        <v>2</v>
      </c>
      <c r="AA28" s="18">
        <v>2</v>
      </c>
      <c r="AB28" s="45">
        <f>AVERAGE(AB7:AB27)</f>
        <v>10</v>
      </c>
      <c r="AC28" s="21">
        <f>AVERAGE(AC21:AC25)</f>
        <v>1.6846094279359867</v>
      </c>
      <c r="AD28" s="21">
        <f>AVERAGE(AD21:AD25)</f>
        <v>1.6846094279359867</v>
      </c>
      <c r="AE28" s="21">
        <v>2</v>
      </c>
      <c r="AF28" s="27">
        <v>2</v>
      </c>
      <c r="AG28" s="45">
        <f>AVERAGE(AG7:AG27)</f>
        <v>10</v>
      </c>
      <c r="AH28" s="21">
        <f>AVERAGE(AH21:AH25)</f>
        <v>1.6846094279359867</v>
      </c>
      <c r="AI28" s="21">
        <f>AVERAGE(AI21:AI25)</f>
        <v>1.6846094279359867</v>
      </c>
      <c r="AJ28" s="21">
        <v>2</v>
      </c>
      <c r="AK28" s="15">
        <v>2</v>
      </c>
    </row>
  </sheetData>
  <protectedRanges>
    <protectedRange sqref="A2:B3" name="Range1"/>
    <protectedRange sqref="A5 B4" name="Range2"/>
    <protectedRange sqref="C24:AK24" name="Range4"/>
  </protectedRanges>
  <mergeCells count="14">
    <mergeCell ref="A7:A8"/>
    <mergeCell ref="A9:A17"/>
    <mergeCell ref="A20:A24"/>
    <mergeCell ref="A25:A27"/>
    <mergeCell ref="A28:B28"/>
    <mergeCell ref="AG5:AK5"/>
    <mergeCell ref="A4:AK4"/>
    <mergeCell ref="A5:B6"/>
    <mergeCell ref="C5:G5"/>
    <mergeCell ref="H5:L5"/>
    <mergeCell ref="M5:Q5"/>
    <mergeCell ref="R5:V5"/>
    <mergeCell ref="W5:AA5"/>
    <mergeCell ref="AB5:AF5"/>
  </mergeCells>
  <conditionalFormatting sqref="AA7">
    <cfRule type="cellIs" dxfId="17" priority="23" operator="greaterThan">
      <formula>$AA$7</formula>
    </cfRule>
  </conditionalFormatting>
  <conditionalFormatting sqref="Z7 Z8:AA24 AE8:AF27 U8:V27 R8:R27 K7:L27 P7:Q27 L28 Q28">
    <cfRule type="cellIs" dxfId="16" priority="22" operator="lessThan">
      <formula>$AL$7</formula>
    </cfRule>
  </conditionalFormatting>
  <conditionalFormatting sqref="AE7">
    <cfRule type="cellIs" dxfId="15" priority="21" operator="lessThan">
      <formula>$AL$7</formula>
    </cfRule>
  </conditionalFormatting>
  <conditionalFormatting sqref="AF7">
    <cfRule type="cellIs" dxfId="14" priority="20" operator="lessThan">
      <formula>$AL$7</formula>
    </cfRule>
  </conditionalFormatting>
  <conditionalFormatting sqref="V7">
    <cfRule type="cellIs" dxfId="13" priority="18" operator="greaterThan">
      <formula>$AA$7</formula>
    </cfRule>
  </conditionalFormatting>
  <conditionalFormatting sqref="U7">
    <cfRule type="cellIs" dxfId="12" priority="17" operator="lessThan">
      <formula>$AL$7</formula>
    </cfRule>
  </conditionalFormatting>
  <conditionalFormatting sqref="R7">
    <cfRule type="cellIs" dxfId="11" priority="16" operator="lessThan">
      <formula>$AL$7</formula>
    </cfRule>
  </conditionalFormatting>
  <conditionalFormatting sqref="V28">
    <cfRule type="cellIs" dxfId="10" priority="15" operator="lessThan">
      <formula>$AL$7</formula>
    </cfRule>
  </conditionalFormatting>
  <conditionalFormatting sqref="AF28">
    <cfRule type="cellIs" dxfId="9" priority="13" operator="lessThan">
      <formula>$AL$7</formula>
    </cfRule>
  </conditionalFormatting>
  <conditionalFormatting sqref="F8:G27">
    <cfRule type="cellIs" dxfId="8" priority="11" operator="lessThan">
      <formula>$AL$7</formula>
    </cfRule>
  </conditionalFormatting>
  <conditionalFormatting sqref="G7">
    <cfRule type="cellIs" dxfId="7" priority="9" operator="lessThan">
      <formula>$AL$7</formula>
    </cfRule>
  </conditionalFormatting>
  <conditionalFormatting sqref="F7">
    <cfRule type="cellIs" dxfId="6" priority="10" operator="lessThan">
      <formula>$AL$7</formula>
    </cfRule>
  </conditionalFormatting>
  <conditionalFormatting sqref="G28">
    <cfRule type="cellIs" dxfId="5" priority="8" operator="lessThan">
      <formula>$AL$7</formula>
    </cfRule>
  </conditionalFormatting>
  <conditionalFormatting sqref="AJ8:AK27">
    <cfRule type="cellIs" dxfId="4" priority="7" operator="lessThan">
      <formula>$AL$7</formula>
    </cfRule>
  </conditionalFormatting>
  <conditionalFormatting sqref="AJ7">
    <cfRule type="cellIs" dxfId="3" priority="6" operator="lessThan">
      <formula>$AL$7</formula>
    </cfRule>
  </conditionalFormatting>
  <conditionalFormatting sqref="AK7">
    <cfRule type="cellIs" dxfId="2" priority="5" operator="lessThan">
      <formula>$AL$7</formula>
    </cfRule>
  </conditionalFormatting>
  <conditionalFormatting sqref="AK28">
    <cfRule type="cellIs" dxfId="1" priority="4" operator="lessThan">
      <formula>$AL$7</formula>
    </cfRule>
  </conditionalFormatting>
  <conditionalFormatting sqref="Z25:AA27 AA28">
    <cfRule type="cellIs" dxfId="0" priority="1" operator="lessThan">
      <formula>$AL$7</formula>
    </cfRule>
  </conditionalFormatting>
  <pageMargins left="0.62992125984251968" right="0.23622047244094491" top="0.55118110236220474" bottom="0.19685039370078741" header="0.31496062992125984" footer="0.31496062992125984"/>
  <pageSetup paperSize="9" scale="55" orientation="landscape" r:id="rId1"/>
  <headerFooter>
    <oddFooter>&amp;CCONFIDENTIAL INFORMATION
This material is confidential and proprietary to Langham Hospitality Group and may not be copied, disclosed, distributed or used without express permission of an authorized representative of LHG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"/>
  <sheetViews>
    <sheetView workbookViewId="0">
      <selection activeCell="G9" sqref="G9"/>
    </sheetView>
  </sheetViews>
  <sheetFormatPr defaultRowHeight="14.5" x14ac:dyDescent="0.35"/>
  <cols>
    <col min="1" max="1" width="9.54296875" bestFit="1" customWidth="1"/>
    <col min="2" max="2" width="12.1796875" bestFit="1" customWidth="1"/>
    <col min="3" max="3" width="13" bestFit="1" customWidth="1"/>
  </cols>
  <sheetData>
    <row r="1" spans="1:11" x14ac:dyDescent="0.35">
      <c r="A1" t="s">
        <v>51</v>
      </c>
      <c r="B1" t="s">
        <v>48</v>
      </c>
      <c r="C1" t="s">
        <v>49</v>
      </c>
      <c r="D1" t="s">
        <v>50</v>
      </c>
      <c r="G1" t="s">
        <v>59</v>
      </c>
      <c r="H1" t="s">
        <v>60</v>
      </c>
    </row>
    <row r="2" spans="1:11" x14ac:dyDescent="0.35">
      <c r="A2" t="s">
        <v>5</v>
      </c>
      <c r="B2" t="s">
        <v>31</v>
      </c>
      <c r="C2" t="s">
        <v>52</v>
      </c>
      <c r="D2" t="s">
        <v>63</v>
      </c>
      <c r="G2" t="s">
        <v>56</v>
      </c>
      <c r="H2">
        <v>1</v>
      </c>
      <c r="K2" t="s">
        <v>5</v>
      </c>
    </row>
    <row r="3" spans="1:11" x14ac:dyDescent="0.35">
      <c r="B3" t="s">
        <v>31</v>
      </c>
      <c r="C3" t="s">
        <v>52</v>
      </c>
      <c r="G3" t="s">
        <v>52</v>
      </c>
      <c r="H3">
        <v>0.12739</v>
      </c>
      <c r="K3" t="s">
        <v>6</v>
      </c>
    </row>
    <row r="4" spans="1:11" x14ac:dyDescent="0.35">
      <c r="B4" t="s">
        <v>7</v>
      </c>
      <c r="C4" t="s">
        <v>53</v>
      </c>
      <c r="G4" t="s">
        <v>53</v>
      </c>
      <c r="H4">
        <v>0.15598999999999999</v>
      </c>
      <c r="K4" t="s">
        <v>8</v>
      </c>
    </row>
    <row r="5" spans="1:11" x14ac:dyDescent="0.35">
      <c r="B5" t="s">
        <v>7</v>
      </c>
      <c r="C5" t="s">
        <v>53</v>
      </c>
      <c r="G5" t="s">
        <v>54</v>
      </c>
      <c r="H5">
        <v>1.32918</v>
      </c>
      <c r="K5" t="s">
        <v>9</v>
      </c>
    </row>
    <row r="6" spans="1:11" x14ac:dyDescent="0.35">
      <c r="B6" t="s">
        <v>7</v>
      </c>
      <c r="C6" t="s">
        <v>53</v>
      </c>
      <c r="G6" t="s">
        <v>57</v>
      </c>
      <c r="H6">
        <v>0.75714000000000004</v>
      </c>
      <c r="K6" t="s">
        <v>10</v>
      </c>
    </row>
    <row r="7" spans="1:11" x14ac:dyDescent="0.35">
      <c r="B7" t="s">
        <v>7</v>
      </c>
      <c r="C7" t="s">
        <v>53</v>
      </c>
      <c r="G7" t="s">
        <v>58</v>
      </c>
      <c r="H7">
        <v>0.70055000000000001</v>
      </c>
      <c r="K7" t="s">
        <v>11</v>
      </c>
    </row>
    <row r="8" spans="1:11" x14ac:dyDescent="0.35">
      <c r="B8" t="s">
        <v>7</v>
      </c>
      <c r="C8" t="s">
        <v>53</v>
      </c>
      <c r="G8" t="s">
        <v>62</v>
      </c>
      <c r="K8" t="s">
        <v>12</v>
      </c>
    </row>
    <row r="9" spans="1:11" x14ac:dyDescent="0.35">
      <c r="B9" t="s">
        <v>7</v>
      </c>
      <c r="C9" t="s">
        <v>53</v>
      </c>
      <c r="G9" t="s">
        <v>61</v>
      </c>
      <c r="K9" t="s">
        <v>13</v>
      </c>
    </row>
    <row r="10" spans="1:11" x14ac:dyDescent="0.35">
      <c r="B10" t="s">
        <v>7</v>
      </c>
      <c r="C10" t="s">
        <v>53</v>
      </c>
      <c r="K10" t="s">
        <v>14</v>
      </c>
    </row>
    <row r="11" spans="1:11" x14ac:dyDescent="0.35">
      <c r="B11" t="s">
        <v>7</v>
      </c>
      <c r="C11" t="s">
        <v>53</v>
      </c>
      <c r="K11" t="s">
        <v>15</v>
      </c>
    </row>
    <row r="12" spans="1:11" x14ac:dyDescent="0.35">
      <c r="B12" t="s">
        <v>7</v>
      </c>
      <c r="C12" t="s">
        <v>53</v>
      </c>
      <c r="K12" t="s">
        <v>16</v>
      </c>
    </row>
    <row r="13" spans="1:11" x14ac:dyDescent="0.35">
      <c r="B13" t="s">
        <v>17</v>
      </c>
      <c r="C13" t="s">
        <v>61</v>
      </c>
      <c r="K13" t="s">
        <v>18</v>
      </c>
    </row>
    <row r="14" spans="1:11" x14ac:dyDescent="0.35">
      <c r="B14" t="s">
        <v>19</v>
      </c>
      <c r="C14" t="s">
        <v>54</v>
      </c>
      <c r="K14" t="s">
        <v>20</v>
      </c>
    </row>
    <row r="15" spans="1:11" x14ac:dyDescent="0.35">
      <c r="B15" t="s">
        <v>55</v>
      </c>
      <c r="C15" t="s">
        <v>56</v>
      </c>
      <c r="K15" t="s">
        <v>22</v>
      </c>
    </row>
    <row r="16" spans="1:11" x14ac:dyDescent="0.35">
      <c r="B16" t="s">
        <v>55</v>
      </c>
      <c r="C16" t="s">
        <v>56</v>
      </c>
      <c r="K16" t="s">
        <v>23</v>
      </c>
    </row>
    <row r="17" spans="2:11" x14ac:dyDescent="0.35">
      <c r="B17" t="s">
        <v>55</v>
      </c>
      <c r="C17" t="s">
        <v>56</v>
      </c>
      <c r="K17" t="s">
        <v>24</v>
      </c>
    </row>
    <row r="18" spans="2:11" x14ac:dyDescent="0.35">
      <c r="B18" t="s">
        <v>55</v>
      </c>
      <c r="C18" t="s">
        <v>56</v>
      </c>
      <c r="K18" t="s">
        <v>25</v>
      </c>
    </row>
    <row r="19" spans="2:11" x14ac:dyDescent="0.35">
      <c r="B19" t="s">
        <v>55</v>
      </c>
      <c r="C19" t="s">
        <v>62</v>
      </c>
      <c r="K19" t="s">
        <v>26</v>
      </c>
    </row>
    <row r="20" spans="2:11" x14ac:dyDescent="0.35">
      <c r="B20" t="s">
        <v>27</v>
      </c>
      <c r="C20" t="s">
        <v>57</v>
      </c>
      <c r="K20" t="s">
        <v>28</v>
      </c>
    </row>
    <row r="21" spans="2:11" x14ac:dyDescent="0.35">
      <c r="B21" t="s">
        <v>27</v>
      </c>
      <c r="C21" t="s">
        <v>57</v>
      </c>
      <c r="K21" t="s">
        <v>29</v>
      </c>
    </row>
    <row r="22" spans="2:11" x14ac:dyDescent="0.35">
      <c r="B22" t="s">
        <v>27</v>
      </c>
      <c r="C22" t="s">
        <v>58</v>
      </c>
      <c r="K22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t_result">
                <anchor moveWithCells="1" sizeWithCells="1">
                  <from>
                    <xdr:col>6</xdr:col>
                    <xdr:colOff>450850</xdr:colOff>
                    <xdr:row>12</xdr:row>
                    <xdr:rowOff>101600</xdr:rowOff>
                  </from>
                  <to>
                    <xdr:col>8</xdr:col>
                    <xdr:colOff>234950</xdr:colOff>
                    <xdr:row>14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Rooms Summary - YTD </vt:lpstr>
      <vt:lpstr>Rooms Costs POR - YTD</vt:lpstr>
      <vt:lpstr>hotel_list</vt:lpstr>
      <vt:lpstr>'Rooms Costs POR - YTD'!Print_Area</vt:lpstr>
      <vt:lpstr>'Rooms Summary - YTD '!Print_Area</vt:lpstr>
      <vt:lpstr>'Rooms Costs POR - YTD'!Print_Titles</vt:lpstr>
      <vt:lpstr>'Rooms Summary - YTD 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Lau (LHG)</dc:creator>
  <cp:lastModifiedBy>User</cp:lastModifiedBy>
  <cp:lastPrinted>2018-06-07T06:49:40Z</cp:lastPrinted>
  <dcterms:created xsi:type="dcterms:W3CDTF">2018-05-31T10:18:17Z</dcterms:created>
  <dcterms:modified xsi:type="dcterms:W3CDTF">2018-06-10T10:50:32Z</dcterms:modified>
</cp:coreProperties>
</file>